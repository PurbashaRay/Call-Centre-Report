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C:\Users\PurbashaR(DA-LON14)\Downloads\"/>
    </mc:Choice>
  </mc:AlternateContent>
  <xr:revisionPtr revIDLastSave="0" documentId="13_ncr:1_{38295B85-7AE9-4917-BC36-4A552630DBFB}" xr6:coauthVersionLast="47" xr6:coauthVersionMax="47" xr10:uidLastSave="{00000000-0000-0000-0000-000000000000}"/>
  <bookViews>
    <workbookView xWindow="-110" yWindow="-110" windowWidth="19420" windowHeight="10300" xr2:uid="{26D4546B-D2A1-4444-8EAF-A6228F96F0C1}"/>
  </bookViews>
  <sheets>
    <sheet name="Call Centre Report Dashboard" sheetId="5" r:id="rId1"/>
    <sheet name="Data" sheetId="2" r:id="rId2"/>
    <sheet name="pivot" sheetId="6"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744" r:id="rId5"/>
    <pivotCache cacheId="746" r:id="rId6"/>
    <pivotCache cacheId="750" r:id="rId7"/>
    <pivotCache cacheId="780" r:id="rId8"/>
    <pivotCache cacheId="1024" r:id="rId9"/>
    <pivotCache cacheId="1027" r:id="rId10"/>
    <pivotCache cacheId="1030" r:id="rId11"/>
    <pivotCache cacheId="1033" r:id="rId12"/>
    <pivotCache cacheId="1036" r:id="rId13"/>
  </pivotCaches>
  <extLst>
    <ext xmlns:x14="http://schemas.microsoft.com/office/spreadsheetml/2009/9/main" uri="{876F7934-8845-4945-9796-88D515C7AA90}">
      <x14:pivotCaches>
        <pivotCache cacheId="7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6" l="1"/>
  <c r="O31" i="5" s="1"/>
  <c r="I10" i="6"/>
  <c r="I13" i="6" s="1"/>
  <c r="I17" i="6" s="1"/>
  <c r="P37" i="5" s="1"/>
  <c r="I9" i="6"/>
  <c r="I12" i="6" s="1"/>
  <c r="I16" i="6" s="1"/>
  <c r="P36" i="5" s="1"/>
  <c r="I8" i="6"/>
  <c r="I15" i="6" s="1"/>
  <c r="P35" i="5" s="1"/>
  <c r="Y21" i="5" a="1"/>
  <c r="Y21" i="5" s="1"/>
  <c r="X22" i="5" a="1"/>
  <c r="X22" i="5" s="1"/>
  <c r="I38" i="6"/>
  <c r="J44" i="6" s="1"/>
  <c r="F41" i="6" a="1"/>
  <c r="F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1" i="6" l="1"/>
  <c r="I45" i="6"/>
  <c r="J43" i="6"/>
  <c r="J42" i="6"/>
  <c r="I44" i="6"/>
  <c r="I43" i="6"/>
  <c r="I42" i="6"/>
  <c r="J41" i="6"/>
  <c r="J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0174C-E4DD-4260-936F-5228598F26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71AF73-E7ED-41A2-AACF-6451D5F4BFD5}"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9A3230A0-3B43-4F02-A1C6-E70BAABFB80B}"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<sst xmlns="http://schemas.openxmlformats.org/spreadsheetml/2006/main" count="3172" uniqueCount="1086">
  <si>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</si>
  <si>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</si>
  <si>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</si>
  <si>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</si>
  <si>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</si>
  <si>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</si>
  <si>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</si>
  <si>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</si>
  <si>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</si>
  <si>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</si>
  <si>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</si>
  <si>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</si>
  <si>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</si>
  <si>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</si>
  <si>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</si>
  <si>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</si>
  <si>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</si>
  <si>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</si>
  <si>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</si>
  <si>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</si>
  <si>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</si>
  <si>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</si>
  <si>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</si>
  <si>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</si>
  <si>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</si>
  <si>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</si>
  <si>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</si>
  <si>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</si>
  <si>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</si>
  <si>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</si>
  <si>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</si>
  <si>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</si>
  <si>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</si>
  <si>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</si>
  <si>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</si>
  <si>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</si>
  <si>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</si>
  <si>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</si>
  <si>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</si>
  <si>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</si>
  <si>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</si>
  <si>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</si>
  <si>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</si>
  <si>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</si>
  <si>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</si>
  <si>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</si>
  <si>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</si>
  <si>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</si>
  <si>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</si>
  <si>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</si>
  <si>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</si>
  <si>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</si>
  <si>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</si>
  <si>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</si>
  <si>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</si>
  <si>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</si>
  <si>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</si>
  <si>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</si>
  <si>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</si>
  <si>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</si>
  <si>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</si>
  <si>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</si>
  <si>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</si>
  <si>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</si>
  <si>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</si>
  <si>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</si>
  <si>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</si>
  <si>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</si>
  <si>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</si>
  <si>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</si>
  <si>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</si>
  <si>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</si>
  <si>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</si>
  <si>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</si>
  <si>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</si>
  <si>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</si>
  <si>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</si>
  <si>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</si>
  <si>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</si>
  <si>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</si>
  <si>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</si>
  <si>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</si>
  <si>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</si>
  <si>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</si>
  <si>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</si>
  <si>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</si>
  <si>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</si>
  <si>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</si>
  <si>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</si>
  <si>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</si>
  <si>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</si>
  <si>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</si>
  <si>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</si>
  <si>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</si>
  <si>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</si>
  <si>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</si>
  <si>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</si>
  <si>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</si>
  <si>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</si>
  <si>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</si>
  <si>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</si>
  <si>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</si>
  <si>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</si>
  <si>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</si>
  <si>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</si>
  <si>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</si>
  <si>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</si>
  <si>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</si>
  <si>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</si>
  <si>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</si>
  <si>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</si>
  <si>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</si>
  <si>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</si>
  <si>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</si>
  <si>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</si>
  <si>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</si>
  <si>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</si>
  <si>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</si>
  <si>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</si>
  <si>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</si>
  <si>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</si>
  <si>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</si>
  <si>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</si>
  <si>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</si>
  <si>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</si>
  <si>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</si>
  <si>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</si>
  <si>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</si>
  <si>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</si>
  <si>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</si>
  <si>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</si>
  <si>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</si>
  <si>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</si>
  <si>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</si>
  <si>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</si>
  <si>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</si>
  <si>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</si>
  <si>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</si>
  <si>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</si>
  <si>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</si>
  <si>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</si>
  <si>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</si>
  <si>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</si>
  <si>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</si>
  <si>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</si>
  <si>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</si>
  <si>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</si>
  <si>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</si>
  <si>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</si>
  <si>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</si>
  <si>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</si>
  <si>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</si>
  <si>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</si>
  <si>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</si>
  <si>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</si>
  <si>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</si>
  <si>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</si>
  <si>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</si>
  <si>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</si>
  <si>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</si>
  <si>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</si>
  <si>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</si>
  <si>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</si>
  <si>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</si>
  <si>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</si>
  <si>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</si>
  <si>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</si>
  <si>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</si>
  <si>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</si>
  <si>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</si>
  <si>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</si>
  <si>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</si>
  <si>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</si>
  <si>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</si>
  <si>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</si>
  <si>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</si>
  <si>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</si>
  <si>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</si>
  <si>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</si>
  <si>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</si>
  <si>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</si>
  <si>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</si>
  <si>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</si>
  <si>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</si>
  <si>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</si>
  <si>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</si>
  <si>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</si>
  <si>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</si>
  <si>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</si>
  <si>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</si>
  <si>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</si>
  <si>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</si>
  <si>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</si>
  <si>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</si>
  <si>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</si>
  <si>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</si>
  <si>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</si>
  <si>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</si>
  <si>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</si>
  <si>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</si>
  <si>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</si>
  <si>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</si>
  <si>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</si>
  <si>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</si>
  <si>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</si>
  <si>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</si>
  <si>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</si>
  <si>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</si>
  <si>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</si>
  <si>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</si>
  <si>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</si>
  <si>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</si>
  <si>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</si>
  <si>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</si>
  <si>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</si>
  <si>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</si>
  <si>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</si>
  <si>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</si>
  <si>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</si>
  <si>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</si>
  <si>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</si>
  <si>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</si>
  <si>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</si>
  <si>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</si>
  <si>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</si>
  <si>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</si>
  <si>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</si>
  <si>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</si>
  <si>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</si>
  <si>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</si>
  <si>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</si>
  <si>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</si>
  <si>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</si>
  <si>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</si>
  <si>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</si>
  <si>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</si>
  <si>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</si>
  <si>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</si>
  <si>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</si>
  <si>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</si>
  <si>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</si>
  <si>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</si>
  <si>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</si>
  <si>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</si>
  <si>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</si>
  <si>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</si>
  <si>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</si>
  <si>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</si>
  <si>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</si>
  <si>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</si>
  <si>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</si>
  <si>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</si>
  <si>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</si>
  <si>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</si>
  <si>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</si>
  <si>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</si>
  <si>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</si>
  <si>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</si>
  <si>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</si>
  <si>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</si>
  <si>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</si>
  <si>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</si>
  <si>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</si>
  <si>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</si>
  <si>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</si>
  <si>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</si>
  <si>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</si>
  <si>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</si>
  <si>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</si>
  <si>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</si>
  <si>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</si>
  <si>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</si>
  <si>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</si>
  <si>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</si>
  <si>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</si>
  <si>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</si>
  <si>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</si>
  <si>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</si>
  <si>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</si>
  <si>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</si>
  <si>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</si>
  <si>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</si>
  <si>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</si>
  <si>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</si>
  <si>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</si>
  <si>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</si>
  <si>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</si>
  <si>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</si>
  <si>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</si>
  <si>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</si>
  <si>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</si>
  <si>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</si>
  <si>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</si>
  <si>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</si>
  <si>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</si>
  <si>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</si>
  <si>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</si>
  <si>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</si>
  <si>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</si>
  <si>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</si>
  <si>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</si>
  <si>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</si>
  <si>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</si>
  <si>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</si>
  <si>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</si>
  <si>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</si>
  <si>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</si>
  <si>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</si>
  <si>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</si>
  <si>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</si>
  <si>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</si>
  <si>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</si>
  <si>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</si>
  <si>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</si>
  <si>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</si>
  <si>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</si>
  <si>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</si>
  <si>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</si>
  <si>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</si>
  <si>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</si>
  <si>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</si>
  <si>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</si>
  <si>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</si>
  <si>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</si>
  <si>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</si>
  <si>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</si>
  <si>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</si>
  <si>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</si>
  <si>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</si>
  <si>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</si>
  <si>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</si>
  <si>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</si>
  <si>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</si>
  <si>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</si>
  <si>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</si>
  <si>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</si>
  <si>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</si>
  <si>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</si>
  <si>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</si>
  <si>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</si>
  <si>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</si>
  <si>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</si>
  <si>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</si>
  <si>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</si>
  <si>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</si>
  <si>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</si>
  <si>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</si>
  <si>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</si>
  <si>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</si>
  <si>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</si>
  <si>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</si>
  <si>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</si>
  <si>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</si>
  <si>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</si>
  <si>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</si>
  <si>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</si>
  <si>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</si>
  <si>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</si>
  <si>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</si>
  <si>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</si>
  <si>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</si>
  <si>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</si>
  <si>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</si>
  <si>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</si>
  <si>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</si>
  <si>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</si>
  <si>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</si>
  <si>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</si>
  <si>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</si>
  <si>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</si>
  <si>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</si>
  <si>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</si>
  <si>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</si>
  <si>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</si>
  <si>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</si>
  <si>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</si>
  <si>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</si>
  <si>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</si>
  <si>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</si>
  <si>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</si>
  <si>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</si>
  <si>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</si>
  <si>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</si>
  <si>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</si>
  <si>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</si>
  <si>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</si>
  <si>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</si>
  <si>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</si>
  <si>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</si>
  <si>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</si>
  <si>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</si>
  <si>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</si>
  <si>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</si>
  <si>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</si>
  <si>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</si>
  <si>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</si>
  <si>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</si>
  <si>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</si>
  <si>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</si>
  <si>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</si>
  <si>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</si>
  <si>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</si>
  <si>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</si>
  <si>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</si>
  <si>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</si>
  <si>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</si>
  <si>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</si>
  <si>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</si>
  <si>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</si>
  <si>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</si>
  <si>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</si>
  <si>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</si>
  <si>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</si>
  <si>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</si>
  <si>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</si>
  <si>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</si>
  <si>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</si>
  <si>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</si>
  <si>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</si>
  <si>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</si>
  <si>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</si>
  <si>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</si>
  <si>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</si>
  <si>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</si>
  <si>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</si>
  <si>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</si>
  <si>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</si>
  <si>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</si>
  <si>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</si>
  <si>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</si>
  <si>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</si>
  <si>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</si>
  <si>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</si>
  <si>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</si>
  <si>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</si>
  <si>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</si>
  <si>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</si>
  <si>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</si>
  <si>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</si>
  <si>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</si>
  <si>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</si>
  <si>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</si>
  <si>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</si>
  <si>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</si>
  <si>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</si>
  <si>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</si>
  <si>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</si>
  <si>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</si>
  <si>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</si>
  <si>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</si>
  <si>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</si>
  <si>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</si>
  <si>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</si>
  <si>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</si>
  <si>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</si>
  <si>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</si>
  <si>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</si>
  <si>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</si>
  <si>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</si>
  <si>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</si>
  <si>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</si>
  <si>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</si>
  <si>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</si>
  <si>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</si>
  <si>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</si>
  <si>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</si>
  <si>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</si>
  <si>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</si>
  <si>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</si>
  <si>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</si>
  <si>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</si>
  <si>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</si>
  <si>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</si>
  <si>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</si>
  <si>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</si>
  <si>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</si>
  <si>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</si>
  <si>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</si>
  <si>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</si>
  <si>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</si>
  <si>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</si>
  <si>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</si>
  <si>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</si>
  <si>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</si>
  <si>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</si>
  <si>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</si>
  <si>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</si>
  <si>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</si>
  <si>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</si>
  <si>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</si>
  <si>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</si>
  <si>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</si>
  <si>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</si>
  <si>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</si>
  <si>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</si>
  <si>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</si>
  <si>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</si>
  <si>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</si>
  <si>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</si>
  <si>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</si>
  <si>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</si>
  <si>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</si>
  <si>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</si>
  <si>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</si>
  <si>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</si>
  <si>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</si>
  <si>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</si>
  <si>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</si>
  <si>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</si>
  <si>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</si>
  <si>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</si>
  <si>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</si>
  <si>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</si>
  <si>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</si>
  <si>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</si>
  <si>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</si>
  <si>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</si>
  <si>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</si>
  <si>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</si>
  <si>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</si>
  <si>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</si>
  <si>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</si>
  <si>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</si>
  <si>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</si>
  <si>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</si>
  <si>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</si>
  <si>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</si>
  <si>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</si>
  <si>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</si>
  <si>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</si>
  <si>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</si>
  <si>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</si>
  <si>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</si>
  <si>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</si>
  <si>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</si>
  <si>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</si>
  <si>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</si>
  <si>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</si>
  <si>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</si>
  <si>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</si>
  <si>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</si>
  <si>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</si>
  <si>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</si>
  <si>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</si>
  <si>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</si>
  <si>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</si>
  <si>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</si>
  <si>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</si>
  <si>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</si>
  <si>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</si>
  <si>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</si>
  <si>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</si>
  <si>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</si>
  <si>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</si>
  <si>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</si>
  <si>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</si>
  <si>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</si>
  <si>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</si>
  <si>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</si>
  <si>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</si>
  <si>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</si>
  <si>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</si>
  <si>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</si>
  <si>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</si>
  <si>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</si>
  <si>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</si>
  <si>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</si>
  <si>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</si>
  <si>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</si>
  <si>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</si>
  <si>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</si>
  <si>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</si>
  <si>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</si>
  <si>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</si>
  <si>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</si>
  <si>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</si>
  <si>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</si>
  <si>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</si>
  <si>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</si>
  <si>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</si>
  <si>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</si>
  <si>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</si>
  <si>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</si>
  <si>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</si>
  <si>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</si>
  <si>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</si>
  <si>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</si>
  <si>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</si>
  <si>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</si>
  <si>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</si>
  <si>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</si>
  <si>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</si>
  <si>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</si>
  <si>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</si>
  <si>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</si>
  <si>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</si>
  <si>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</si>
  <si>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</si>
  <si>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</si>
  <si>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</si>
  <si>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</si>
  <si>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</si>
  <si>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</si>
  <si>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</si>
  <si>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</si>
  <si>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</si>
  <si>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</si>
  <si>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</si>
  <si>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</si>
  <si>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</si>
  <si>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</si>
  <si>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</si>
  <si>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</si>
  <si>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</si>
  <si>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</si>
  <si>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</si>
  <si>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</si>
  <si>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</si>
  <si>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</si>
  <si>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</si>
  <si>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</si>
  <si>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</si>
  <si>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</si>
  <si>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</si>
  <si>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</si>
  <si>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</si>
  <si>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</si>
  <si>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</si>
  <si>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</si>
  <si>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</si>
  <si>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</si>
  <si>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</si>
  <si>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</si>
  <si>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</si>
  <si>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</si>
  <si>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</si>
  <si>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</si>
  <si>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</si>
  <si>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</si>
  <si>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</si>
  <si>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</si>
  <si>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</si>
  <si>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</si>
  <si>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</si>
  <si>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</si>
  <si>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</si>
  <si>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</si>
  <si>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</si>
  <si>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</si>
  <si>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</si>
  <si>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</si>
  <si>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</si>
  <si>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</si>
  <si>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</si>
  <si>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</si>
  <si>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</si>
  <si>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</si>
  <si>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</si>
  <si>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</si>
  <si>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</si>
  <si>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</si>
  <si>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</si>
  <si>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</si>
  <si>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</si>
  <si>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</si>
  <si>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</si>
  <si>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</si>
  <si>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</si>
  <si>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</si>
  <si>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</si>
  <si>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</si>
  <si>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</si>
  <si>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</si>
  <si>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</si>
  <si>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</si>
  <si>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</si>
  <si>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</si>
  <si>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</si>
  <si>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</si>
  <si>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</si>
  <si>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</si>
  <si>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</si>
  <si>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</si>
  <si>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</si>
  <si>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</si>
  <si>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</si>
  <si>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</si>
  <si>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</si>
  <si>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</si>
  <si>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</si>
  <si>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</si>
  <si>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</si>
  <si>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</si>
  <si>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</si>
  <si>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</si>
  <si>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</si>
  <si>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</si>
  <si>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</si>
  <si>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</si>
  <si>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</si>
  <si>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</si>
  <si>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</si>
  <si>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</si>
  <si>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</si>
  <si>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</si>
  <si>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</si>
  <si>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</si>
  <si>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</si>
  <si>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</si>
  <si>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</si>
  <si>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</si>
  <si>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</si>
  <si>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</si>
  <si>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</si>
  <si>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</si>
  <si>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</si>
  <si>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</si>
  <si>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</si>
  <si>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</si>
  <si>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</si>
  <si>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</si>
  <si>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</si>
  <si>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</si>
  <si>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</si>
  <si>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</si>
  <si>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</si>
  <si>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</si>
  <si>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</si>
  <si>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</si>
  <si>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</si>
  <si>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</si>
  <si>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</si>
  <si>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</si>
  <si>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</si>
  <si>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</si>
  <si>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</si>
  <si>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</si>
  <si>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</si>
  <si>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</si>
  <si>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</si>
  <si>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</si>
  <si>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</si>
  <si>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</si>
  <si>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</si>
  <si>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</si>
  <si>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</si>
  <si>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</si>
  <si>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</si>
  <si>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</si>
  <si>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</si>
  <si>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</si>
  <si>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</si>
  <si>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</si>
  <si>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</si>
  <si>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</si>
  <si>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</si>
  <si>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</si>
  <si>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</si>
  <si>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</si>
  <si>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</si>
  <si>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</si>
  <si>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</si>
  <si>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</si>
  <si>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</si>
  <si>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</si>
  <si>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</si>
  <si>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</si>
  <si>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</si>
  <si>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</si>
  <si>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</si>
  <si>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</si>
  <si>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</si>
  <si>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</si>
  <si>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</si>
  <si>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</si>
  <si>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</si>
  <si>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</si>
  <si>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</si>
  <si>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</si>
  <si>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</si>
  <si>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</si>
  <si>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</si>
  <si>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</si>
  <si>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</si>
  <si>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</si>
  <si>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</si>
  <si>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</si>
  <si>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</si>
  <si>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</si>
  <si>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</si>
  <si>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</si>
  <si>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</si>
  <si>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</si>
  <si>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</si>
  <si>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</si>
  <si>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</si>
  <si>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</si>
  <si>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</si>
  <si>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</si>
  <si>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</si>
  <si>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</si>
  <si>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</si>
  <si>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</si>
  <si>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</si>
  <si>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</si>
  <si>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</si>
  <si>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</si>
  <si>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</si>
  <si>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</si>
  <si>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</si>
  <si>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</si>
  <si>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</si>
  <si>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</si>
  <si>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</si>
  <si>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</si>
  <si>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</si>
  <si>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</si>
  <si>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</si>
  <si>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</si>
  <si>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</si>
  <si>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</si>
  <si>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</si>
  <si>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</si>
  <si>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</si>
  <si>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</si>
  <si>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</si>
  <si>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</si>
  <si>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</si>
  <si>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</si>
  <si>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</si>
  <si>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</si>
  <si>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</si>
  <si>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</si>
  <si>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</si>
  <si>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</si>
  <si>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</si>
  <si>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</si>
  <si>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</si>
  <si>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</si>
  <si>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</si>
  <si>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</si>
  <si>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</si>
  <si>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</si>
  <si>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</si>
  <si>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</si>
  <si>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</si>
  <si>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</si>
  <si>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</si>
  <si>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</si>
  <si>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</si>
  <si>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</si>
  <si>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</si>
  <si>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</si>
  <si>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</si>
  <si>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</si>
  <si>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</si>
  <si>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</si>
  <si>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</si>
  <si>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</si>
  <si>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</si>
  <si>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</si>
  <si>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</si>
  <si>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</si>
  <si>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</si>
  <si>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</si>
  <si>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</si>
  <si>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</si>
  <si>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</si>
  <si>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</si>
  <si>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</si>
  <si>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</si>
  <si>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</si>
  <si>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</si>
  <si>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</si>
  <si>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</si>
  <si>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</si>
  <si>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</si>
  <si>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</si>
  <si>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</si>
  <si>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</si>
  <si>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</si>
  <si>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</si>
  <si>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</si>
  <si>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</si>
  <si>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</si>
  <si>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</si>
  <si>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</si>
  <si>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</si>
  <si>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</si>
  <si>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</si>
  <si>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</si>
  <si>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</si>
  <si>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</si>
  <si>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</si>
  <si>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</si>
  <si>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</si>
  <si>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</si>
  <si>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</si>
  <si>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</si>
  <si>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</si>
  <si>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</si>
  <si>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</si>
  <si>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</si>
  <si>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</si>
  <si>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</si>
  <si>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</si>
  <si>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</si>
  <si>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</si>
  <si>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</si>
  <si>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</si>
  <si>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</si>
  <si>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</si>
  <si>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</si>
  <si>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</si>
  <si>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</si>
  <si>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</si>
  <si>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</si>
  <si>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</si>
  <si>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</si>
  <si>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</si>
  <si>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</si>
  <si>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</si>
  <si>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</si>
  <si>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</si>
  <si>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</si>
  <si>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</si>
  <si>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</si>
  <si>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</si>
  <si>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</si>
  <si>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</si>
  <si>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</si>
  <si>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</si>
  <si>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</si>
  <si>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</si>
  <si>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</si>
  <si>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</si>
  <si>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</si>
  <si>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</si>
  <si>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</si>
  <si>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</si>
  <si>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</si>
  <si>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</si>
  <si>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</si>
  <si>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</si>
  <si>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</si>
  <si>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</si>
  <si>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</si>
  <si>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</si>
  <si>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</si>
  <si>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</si>
  <si>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</si>
  <si>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</si>
  <si>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</si>
  <si>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</si>
  <si>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</si>
  <si>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</si>
  <si>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</si>
  <si>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</si>
  <si>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</si>
  <si>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</si>
  <si>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</si>
  <si>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</si>
  <si>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</si>
  <si>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</si>
  <si>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</si>
  <si>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</si>
  <si>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</si>
  <si>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</si>
  <si>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</si>
  <si>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</si>
  <si>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</si>
  <si>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</si>
  <si>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</si>
  <si>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</si>
  <si>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</si>
  <si>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</si>
  <si>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</si>
  <si>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</si>
  <si>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</si>
  <si>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</si>
  <si>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</si>
  <si>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</si>
  <si>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</si>
  <si>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</si>
  <si>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</si>
  <si>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</si>
  <si>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</si>
  <si>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</si>
  <si>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</si>
  <si>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</si>
  <si>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</si>
  <si>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</si>
  <si>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</si>
  <si>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</si>
  <si>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</si>
  <si>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</si>
  <si>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</si>
  <si>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</si>
  <si>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</si>
  <si>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</si>
  <si>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</si>
  <si>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</si>
  <si>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</si>
  <si>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</si>
  <si>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</si>
  <si>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</si>
  <si>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</si>
  <si>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</si>
  <si>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</si>
  <si>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</si>
  <si>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</si>
  <si>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</si>
  <si>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</si>
  <si>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</si>
  <si>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</si>
  <si>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</si>
  <si>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</si>
  <si>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</si>
  <si>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</si>
  <si>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</si>
  <si>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</si>
  <si>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</si>
  <si>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</si>
  <si>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</si>
  <si>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</si>
  <si>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</si>
  <si>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</si>
  <si>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</si>
  <si>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</si>
  <si>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</si>
  <si>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</si>
  <si>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</si>
  <si>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</si>
  <si>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</si>
  <si>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</si>
  <si>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</si>
  <si>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</si>
  <si>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</si>
  <si>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</si>
  <si>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</si>
  <si>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</si>
  <si>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</si>
  <si>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Row_Count</t>
  </si>
  <si>
    <t>Total Amount</t>
  </si>
  <si>
    <t>Total Duration</t>
  </si>
  <si>
    <t>Avg Rating</t>
  </si>
  <si>
    <t>5* Calls</t>
  </si>
  <si>
    <t>Row Labels</t>
  </si>
  <si>
    <t>Grand Total</t>
  </si>
  <si>
    <t>Jan</t>
  </si>
  <si>
    <t>Feb</t>
  </si>
  <si>
    <t>Mar</t>
  </si>
  <si>
    <t>Apr</t>
  </si>
  <si>
    <t>May</t>
  </si>
  <si>
    <t>Jun</t>
  </si>
  <si>
    <t>Jul</t>
  </si>
  <si>
    <t>Aug</t>
  </si>
  <si>
    <t>Sep</t>
  </si>
  <si>
    <t>Oct</t>
  </si>
  <si>
    <t>Nov</t>
  </si>
  <si>
    <t>Dec</t>
  </si>
  <si>
    <t>Row_Count2</t>
  </si>
  <si>
    <t>Wednesday</t>
  </si>
  <si>
    <t>Thursday</t>
  </si>
  <si>
    <t>Friday</t>
  </si>
  <si>
    <t>Saturday</t>
  </si>
  <si>
    <t>Sunday</t>
  </si>
  <si>
    <t>Monday</t>
  </si>
  <si>
    <t>Tuesday</t>
  </si>
  <si>
    <t>Rep</t>
  </si>
  <si>
    <t>call</t>
  </si>
  <si>
    <t>amount</t>
  </si>
  <si>
    <t>sel.call</t>
  </si>
  <si>
    <t>sell.amt</t>
  </si>
  <si>
    <t>sel rep</t>
  </si>
  <si>
    <t>Column Labels</t>
  </si>
  <si>
    <t>Total</t>
  </si>
  <si>
    <t xml:space="preserve">call </t>
  </si>
  <si>
    <t>rank</t>
  </si>
  <si>
    <t>Amount rank</t>
  </si>
  <si>
    <t>Labels:</t>
  </si>
  <si>
    <t>call %</t>
  </si>
  <si>
    <t>representative</t>
  </si>
  <si>
    <t>For graph</t>
  </si>
  <si>
    <t>Image</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</si>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</sst>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0;\-&quot;£&quot;#,##0;&quot;£&quot;#,##0"/>
    <numFmt numFmtId="167" formatCode="&quot;£&quot;#,###.0,&quot;k&quot;"/>
    <numFmt numFmtId="170" formatCode="&quot;£&quot;#,##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1"/>
      <color theme="1"/>
      <name val="Aptos ExtraBold"/>
      <family val="2"/>
      <scheme val="major"/>
    </font>
    <font>
      <sz val="24"/>
      <color theme="1"/>
      <name val="Aptos ExtraBold"/>
      <family val="2"/>
      <scheme val="major"/>
    </font>
    <font>
      <b/>
      <sz val="28"/>
      <color theme="1"/>
      <name val="Aptos ExtraBold"/>
      <family val="2"/>
      <scheme val="major"/>
    </font>
    <font>
      <sz val="1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5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pivotButton="1"/>
    <xf numFmtId="166" fontId="0" fillId="0" borderId="0" xfId="0" applyNumberFormat="1"/>
    <xf numFmtId="0" fontId="0" fillId="0" borderId="0" xfId="0" applyAlignment="1">
      <alignment horizontal="left"/>
    </xf>
    <xf numFmtId="167" fontId="0" fillId="0" borderId="0" xfId="0" applyNumberFormat="1"/>
    <xf numFmtId="0" fontId="0" fillId="5" borderId="0" xfId="0" applyFill="1"/>
    <xf numFmtId="0" fontId="4" fillId="5" borderId="0" xfId="0" applyFont="1" applyFill="1" applyAlignment="1">
      <alignment vertical="center"/>
    </xf>
    <xf numFmtId="0" fontId="0" fillId="0" borderId="0" xfId="0" applyNumberFormat="1"/>
    <xf numFmtId="0" fontId="0" fillId="0" borderId="0" xfId="0" applyAlignment="1">
      <alignment horizontal="left" indent="1"/>
    </xf>
    <xf numFmtId="0" fontId="0" fillId="5" borderId="0" xfId="0" applyFill="1" applyAlignment="1">
      <alignment vertical="center"/>
    </xf>
    <xf numFmtId="0" fontId="0" fillId="4" borderId="10" xfId="0" applyFill="1" applyBorder="1"/>
    <xf numFmtId="0" fontId="0" fillId="4" borderId="11" xfId="0" applyFill="1" applyBorder="1"/>
    <xf numFmtId="0" fontId="0" fillId="4" borderId="12" xfId="0" applyFill="1" applyBorder="1"/>
    <xf numFmtId="0" fontId="0" fillId="4" borderId="13" xfId="0" applyFill="1" applyBorder="1"/>
    <xf numFmtId="0" fontId="0" fillId="4" borderId="0" xfId="0" applyFill="1" applyBorder="1"/>
    <xf numFmtId="0" fontId="0" fillId="4" borderId="14" xfId="0" applyFill="1" applyBorder="1"/>
    <xf numFmtId="0" fontId="0" fillId="4" borderId="13" xfId="0" applyFill="1" applyBorder="1" applyAlignment="1">
      <alignment horizontal="left" indent="1"/>
    </xf>
    <xf numFmtId="170" fontId="0" fillId="4" borderId="0" xfId="0" applyNumberFormat="1" applyFill="1" applyBorder="1"/>
    <xf numFmtId="170" fontId="0" fillId="4" borderId="14" xfId="0" applyNumberFormat="1" applyFill="1" applyBorder="1"/>
    <xf numFmtId="0" fontId="0" fillId="4" borderId="15" xfId="0" applyFill="1" applyBorder="1" applyAlignment="1">
      <alignment horizontal="left" indent="1"/>
    </xf>
    <xf numFmtId="170" fontId="0" fillId="4" borderId="16" xfId="0" applyNumberFormat="1" applyFill="1" applyBorder="1"/>
    <xf numFmtId="170" fontId="0" fillId="4" borderId="17" xfId="0" applyNumberFormat="1" applyFill="1" applyBorder="1"/>
    <xf numFmtId="0" fontId="1" fillId="4" borderId="13" xfId="0" applyFont="1" applyFill="1" applyBorder="1"/>
    <xf numFmtId="0" fontId="1" fillId="4" borderId="0" xfId="0" applyFont="1" applyFill="1" applyBorder="1" applyAlignment="1">
      <alignment horizontal="center" vertical="center"/>
    </xf>
    <xf numFmtId="0" fontId="1" fillId="4" borderId="0" xfId="0" applyFont="1" applyFill="1" applyBorder="1" applyAlignment="1">
      <alignment horizontal="center"/>
    </xf>
    <xf numFmtId="0" fontId="1" fillId="4" borderId="14" xfId="0" applyFont="1" applyFill="1" applyBorder="1" applyAlignment="1">
      <alignment horizontal="center"/>
    </xf>
    <xf numFmtId="10" fontId="0" fillId="0" borderId="0" xfId="0" applyNumberFormat="1"/>
    <xf numFmtId="0" fontId="0" fillId="5" borderId="0" xfId="0" applyFill="1" applyAlignment="1">
      <alignment horizontal="center" vertical="top"/>
    </xf>
    <xf numFmtId="0" fontId="0" fillId="5" borderId="0" xfId="0" applyFill="1" applyAlignment="1">
      <alignment vertical="top"/>
    </xf>
    <xf numFmtId="0" fontId="5" fillId="5" borderId="0" xfId="0" applyFont="1" applyFill="1" applyAlignment="1">
      <alignment horizontal="center"/>
    </xf>
    <xf numFmtId="0" fontId="6" fillId="5" borderId="0" xfId="0" applyFont="1" applyFill="1"/>
    <xf numFmtId="0" fontId="7" fillId="4" borderId="0" xfId="0" applyFont="1" applyFill="1" applyAlignment="1">
      <alignment horizontal="center" vertical="center"/>
    </xf>
    <xf numFmtId="0" fontId="0" fillId="4" borderId="0" xfId="0" applyFill="1" applyAlignment="1">
      <alignment horizontal="center" vertical="center"/>
    </xf>
    <xf numFmtId="0" fontId="0" fillId="4" borderId="0" xfId="0" applyFont="1" applyFill="1" applyAlignment="1">
      <alignment horizontal="center"/>
    </xf>
  </cellXfs>
  <cellStyles count="1">
    <cellStyle name="Normal" xfId="0" builtinId="0"/>
  </cellStyles>
  <dxfs count="17">
    <dxf>
      <fill>
        <patternFill>
          <bgColor rgb="FFFFC000"/>
        </patternFill>
      </fill>
      <border>
        <left style="thin">
          <color auto="1"/>
        </left>
        <right style="thin">
          <color auto="1"/>
        </right>
        <vertical/>
        <horizontal/>
      </border>
    </dxf>
    <dxf>
      <border diagonalUp="0" diagonalDown="0">
        <left/>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6"/>
    </tableStyle>
    <tableStyle name="Slicer Style 2" pivot="0" table="0" count="3" xr9:uid="{7B4F8CD9-3444-4346-BF2E-EEB46FFCB586}">
      <tableStyleElement type="wholeTable" dxfId="1"/>
    </tableStyle>
  </tableStyles>
  <colors>
    <mruColors>
      <color rgb="FFB7E565"/>
      <color rgb="FF006600"/>
      <color rgb="FFE2FEB4"/>
      <color rgb="FFFFFDB5"/>
      <color rgb="FFF2AC58"/>
      <color rgb="FF44F655"/>
      <color rgb="FF0033CC"/>
    </mruColors>
  </colors>
  <extLst>
    <ext xmlns:x14="http://schemas.microsoft.com/office/spreadsheetml/2009/9/main" uri="{46F421CA-312F-682f-3DD2-61675219B42D}">
      <x14:dxfs count="2">
        <dxf>
          <fill>
            <patternFill>
              <bgColor rgb="FF92D050"/>
            </patternFill>
          </fill>
          <border>
            <left style="thin">
              <color auto="1"/>
            </left>
            <right style="thin">
              <color auto="1"/>
            </right>
            <top style="thin">
              <color auto="1"/>
            </top>
            <bottom style="thin">
              <color auto="1"/>
            </bottom>
          </border>
        </dxf>
        <dxf>
          <fill>
            <patternFill>
              <fgColor theme="0" tint="-4.9989318521683403E-2"/>
              <bgColor theme="0" tint="-0.149937437055574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[sample-data-excel-portfolio-project.xlsx]pivot!monthly treand</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Call</a:t>
            </a:r>
            <a:r>
              <a:rPr lang="en-GB" b="1" baseline="0">
                <a:solidFill>
                  <a:sysClr val="windowText" lastClr="000000"/>
                </a:solidFill>
              </a:rPr>
              <a:t> Trend</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B7E565"/>
              </a:gs>
              <a:gs pos="100000">
                <a:srgbClr val="44F655"/>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6600"/>
            </a:solidFill>
            <a:round/>
          </a:ln>
          <a:effectLst/>
        </c:spPr>
        <c:marker>
          <c:symbol val="circle"/>
          <c:size val="7"/>
          <c:spPr>
            <a:solidFill>
              <a:srgbClr val="FFFF00">
                <a:alpha val="93000"/>
              </a:srgbClr>
            </a:solidFill>
            <a:ln w="25400">
              <a:solidFill>
                <a:srgbClr val="006600">
                  <a:alpha val="97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pivot!$C$23</c:f>
              <c:strCache>
                <c:ptCount val="1"/>
                <c:pt idx="0">
                  <c:v>Row_Count2</c:v>
                </c:pt>
              </c:strCache>
            </c:strRef>
          </c:tx>
          <c:spPr>
            <a:gradFill flip="none" rotWithShape="1">
              <a:gsLst>
                <a:gs pos="0">
                  <a:srgbClr val="B7E565"/>
                </a:gs>
                <a:gs pos="100000">
                  <a:srgbClr val="44F655"/>
                </a:gs>
              </a:gsLst>
              <a:lin ang="5400000" scaled="1"/>
              <a:tileRect/>
            </a:gradFill>
            <a:ln>
              <a:noFill/>
            </a:ln>
            <a:effectLst/>
          </c:spP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pivot!$C$24:$C$36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B147-40E3-911C-CBA9D7F876A1}"/>
            </c:ext>
          </c:extLst>
        </c:ser>
        <c:dLbls>
          <c:showLegendKey val="0"/>
          <c:showVal val="0"/>
          <c:showCatName val="0"/>
          <c:showSerName val="0"/>
          <c:showPercent val="0"/>
          <c:showBubbleSize val="0"/>
        </c:dLbls>
        <c:axId val="1105154912"/>
        <c:axId val="1105155872"/>
      </c:areaChart>
      <c:lineChart>
        <c:grouping val="standard"/>
        <c:varyColors val="0"/>
        <c:ser>
          <c:idx val="0"/>
          <c:order val="0"/>
          <c:tx>
            <c:strRef>
              <c:f>pivot!$B$23</c:f>
              <c:strCache>
                <c:ptCount val="1"/>
                <c:pt idx="0">
                  <c:v>Row_Count</c:v>
                </c:pt>
              </c:strCache>
            </c:strRef>
          </c:tx>
          <c:spPr>
            <a:ln w="28575" cap="rnd">
              <a:solidFill>
                <a:srgbClr val="006600"/>
              </a:solidFill>
              <a:round/>
            </a:ln>
            <a:effectLst/>
          </c:spPr>
          <c:marker>
            <c:symbol val="circle"/>
            <c:size val="7"/>
            <c:spPr>
              <a:solidFill>
                <a:srgbClr val="FFFF00">
                  <a:alpha val="93000"/>
                </a:srgbClr>
              </a:solidFill>
              <a:ln w="25400">
                <a:solidFill>
                  <a:srgbClr val="006600">
                    <a:alpha val="97000"/>
                  </a:srgbClr>
                </a:solidFill>
              </a:ln>
              <a:effectLst/>
            </c:spPr>
          </c:marke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B147-40E3-911C-CBA9D7F876A1}"/>
            </c:ext>
          </c:extLst>
        </c:ser>
        <c:dLbls>
          <c:showLegendKey val="0"/>
          <c:showVal val="0"/>
          <c:showCatName val="0"/>
          <c:showSerName val="0"/>
          <c:showPercent val="0"/>
          <c:showBubbleSize val="0"/>
        </c:dLbls>
        <c:marker val="1"/>
        <c:smooth val="0"/>
        <c:axId val="1105154912"/>
        <c:axId val="1105155872"/>
      </c:lineChart>
      <c:catAx>
        <c:axId val="11051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55872"/>
        <c:crosses val="autoZero"/>
        <c:auto val="1"/>
        <c:lblAlgn val="ctr"/>
        <c:lblOffset val="100"/>
        <c:noMultiLvlLbl val="0"/>
      </c:catAx>
      <c:valAx>
        <c:axId val="1105155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[sample-data-excel-portfolio-project.xlsx]pivot!weekly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E565"/>
          </a:solidFill>
          <a:ln>
            <a:solidFill>
              <a:srgbClr val="44F65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E565"/>
          </a:solidFill>
          <a:ln>
            <a:solidFill>
              <a:srgbClr val="44F655"/>
            </a:solidFill>
          </a:ln>
          <a:effectLst/>
        </c:spPr>
        <c:dLbl>
          <c:idx val="0"/>
          <c:layout>
            <c:manualLayout>
              <c:x val="-0.11304347826086965"/>
              <c:y val="-1.074206076354325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E565"/>
          </a:solidFill>
          <a:ln>
            <a:solidFill>
              <a:srgbClr val="44F655"/>
            </a:solidFill>
          </a:ln>
          <a:effectLst/>
        </c:spPr>
        <c:dLbl>
          <c:idx val="0"/>
          <c:layout>
            <c:manualLayout>
              <c:x val="-0.11739130434782601"/>
              <c:y val="4.6874988465800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E565"/>
          </a:solidFill>
          <a:ln>
            <a:solidFill>
              <a:srgbClr val="44F655"/>
            </a:solidFill>
          </a:ln>
          <a:effectLst/>
        </c:spPr>
        <c:dLbl>
          <c:idx val="0"/>
          <c:layout>
            <c:manualLayout>
              <c:x val="-9.5652173913043564E-2"/>
              <c:y val="-4.296824305417302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7E565"/>
          </a:solidFill>
          <a:ln>
            <a:solidFill>
              <a:srgbClr val="44F655"/>
            </a:solidFill>
          </a:ln>
          <a:effectLst/>
        </c:spPr>
        <c:dLbl>
          <c:idx val="0"/>
          <c:layout>
            <c:manualLayout>
              <c:x val="-0.113043478260869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E565"/>
          </a:solidFill>
          <a:ln>
            <a:solidFill>
              <a:srgbClr val="44F655"/>
            </a:solidFill>
          </a:ln>
          <a:effectLst/>
        </c:spPr>
        <c:dLbl>
          <c:idx val="0"/>
          <c:layout>
            <c:manualLayout>
              <c:x val="-0.10869565217391321"/>
              <c:y val="-8.59364861083460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7E565"/>
          </a:solidFill>
          <a:ln>
            <a:solidFill>
              <a:srgbClr val="44F655"/>
            </a:solidFill>
          </a:ln>
          <a:effectLst/>
        </c:spPr>
        <c:dLbl>
          <c:idx val="0"/>
          <c:layout>
            <c:manualLayout>
              <c:x val="-0.10869565217391304"/>
              <c:y val="-4.6874988465800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7E565"/>
          </a:solidFill>
          <a:ln>
            <a:solidFill>
              <a:srgbClr val="44F655"/>
            </a:solidFill>
          </a:ln>
          <a:effectLst/>
        </c:spPr>
        <c:dLbl>
          <c:idx val="0"/>
          <c:layout>
            <c:manualLayout>
              <c:x val="-0.113043478260869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0109551523451"/>
          <c:y val="5.1562487312380091E-2"/>
          <c:w val="0.68872064361520025"/>
          <c:h val="0.89687502537523978"/>
        </c:manualLayout>
      </c:layout>
      <c:barChart>
        <c:barDir val="bar"/>
        <c:grouping val="clustered"/>
        <c:varyColors val="0"/>
        <c:ser>
          <c:idx val="0"/>
          <c:order val="0"/>
          <c:tx>
            <c:strRef>
              <c:f>pivot!$G$23</c:f>
              <c:strCache>
                <c:ptCount val="1"/>
                <c:pt idx="0">
                  <c:v>Total</c:v>
                </c:pt>
              </c:strCache>
            </c:strRef>
          </c:tx>
          <c:spPr>
            <a:solidFill>
              <a:srgbClr val="B7E565"/>
            </a:solidFill>
            <a:ln>
              <a:solidFill>
                <a:srgbClr val="44F655"/>
              </a:solidFill>
            </a:ln>
            <a:effectLst/>
          </c:spPr>
          <c:invertIfNegative val="0"/>
          <c:dLbls>
            <c:dLbl>
              <c:idx val="0"/>
              <c:layout>
                <c:manualLayout>
                  <c:x val="-0.1130434782608695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A2-466F-B129-449DAC632AD6}"/>
                </c:ext>
              </c:extLst>
            </c:dLbl>
            <c:dLbl>
              <c:idx val="1"/>
              <c:layout>
                <c:manualLayout>
                  <c:x val="-0.10869565217391304"/>
                  <c:y val="-4.68749884658000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A2-466F-B129-449DAC632AD6}"/>
                </c:ext>
              </c:extLst>
            </c:dLbl>
            <c:dLbl>
              <c:idx val="2"/>
              <c:layout>
                <c:manualLayout>
                  <c:x val="-0.10869565217391321"/>
                  <c:y val="-8.593648610834604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A2-466F-B129-449DAC632AD6}"/>
                </c:ext>
              </c:extLst>
            </c:dLbl>
            <c:dLbl>
              <c:idx val="3"/>
              <c:layout>
                <c:manualLayout>
                  <c:x val="-0.1130434782608695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A2-466F-B129-449DAC632AD6}"/>
                </c:ext>
              </c:extLst>
            </c:dLbl>
            <c:dLbl>
              <c:idx val="4"/>
              <c:layout>
                <c:manualLayout>
                  <c:x val="-9.5652173913043564E-2"/>
                  <c:y val="-4.29682430541730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A2-466F-B129-449DAC632AD6}"/>
                </c:ext>
              </c:extLst>
            </c:dLbl>
            <c:dLbl>
              <c:idx val="5"/>
              <c:layout>
                <c:manualLayout>
                  <c:x val="-0.11739130434782601"/>
                  <c:y val="4.68749884658000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A2-466F-B129-449DAC632AD6}"/>
                </c:ext>
              </c:extLst>
            </c:dLbl>
            <c:dLbl>
              <c:idx val="6"/>
              <c:layout>
                <c:manualLayout>
                  <c:x val="-0.11304347826086965"/>
                  <c:y val="-1.074206076354325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A2-466F-B129-449DAC632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pivot!$F$24:$F$31</c:f>
              <c:strCache>
                <c:ptCount val="7"/>
                <c:pt idx="0">
                  <c:v>Monday</c:v>
                </c:pt>
                <c:pt idx="1">
                  <c:v>Tuesday</c:v>
                </c:pt>
                <c:pt idx="2">
                  <c:v>Wednesday</c:v>
                </c:pt>
                <c:pt idx="3">
                  <c:v>Thursday</c:v>
                </c:pt>
                <c:pt idx="4">
                  <c:v>Friday</c:v>
                </c:pt>
                <c:pt idx="5">
                  <c:v>Saturday</c:v>
                </c:pt>
                <c:pt idx="6">
                  <c:v>Sunday</c:v>
                </c:pt>
              </c:strCache>
            </c:strRef>
          </c:cat>
          <c:val>
            <c:numRef>
              <c:f>pivot!$G$24:$G$31</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8EA2-466F-B129-449DAC632AD6}"/>
            </c:ext>
          </c:extLst>
        </c:ser>
        <c:dLbls>
          <c:dLblPos val="outEnd"/>
          <c:showLegendKey val="0"/>
          <c:showVal val="1"/>
          <c:showCatName val="0"/>
          <c:showSerName val="0"/>
          <c:showPercent val="0"/>
          <c:showBubbleSize val="0"/>
        </c:dLbls>
        <c:gapWidth val="25"/>
        <c:axId val="1733554528"/>
        <c:axId val="1733547328"/>
      </c:barChart>
      <c:catAx>
        <c:axId val="1733554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47328"/>
        <c:crosses val="autoZero"/>
        <c:auto val="1"/>
        <c:lblAlgn val="ctr"/>
        <c:lblOffset val="100"/>
        <c:noMultiLvlLbl val="0"/>
      </c:catAx>
      <c:valAx>
        <c:axId val="1733547328"/>
        <c:scaling>
          <c:orientation val="minMax"/>
        </c:scaling>
        <c:delete val="1"/>
        <c:axPos val="b"/>
        <c:numFmt formatCode="#,##0" sourceLinked="1"/>
        <c:majorTickMark val="none"/>
        <c:minorTickMark val="none"/>
        <c:tickLblPos val="nextTo"/>
        <c:crossAx val="173355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Calls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587431934349852"/>
          <c:y val="0.17495945842547891"/>
          <c:w val="0.83859492168156546"/>
          <c:h val="0.7731517833464201"/>
        </c:manualLayout>
      </c:layout>
      <c:barChart>
        <c:barDir val="bar"/>
        <c:grouping val="clustered"/>
        <c:varyColors val="0"/>
        <c:ser>
          <c:idx val="0"/>
          <c:order val="0"/>
          <c:spPr>
            <a:solidFill>
              <a:srgbClr val="B7E56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pivot!$F$41:$F$45</c:f>
              <c:strCache>
                <c:ptCount val="5"/>
                <c:pt idx="0">
                  <c:v>R01</c:v>
                </c:pt>
                <c:pt idx="1">
                  <c:v>R02</c:v>
                </c:pt>
                <c:pt idx="2">
                  <c:v>R03</c:v>
                </c:pt>
                <c:pt idx="3">
                  <c:v>R04</c:v>
                </c:pt>
                <c:pt idx="4">
                  <c:v>R05</c:v>
                </c:pt>
              </c:strCache>
            </c:strRef>
          </c:cat>
          <c:val>
            <c:numRef>
              <c:f>pivot!$G$41:$G$45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F88-4F8B-9F45-BE2CDD1D444D}"/>
            </c:ext>
          </c:extLst>
        </c:ser>
        <c:ser>
          <c:idx val="1"/>
          <c:order val="1"/>
          <c:tx>
            <c:strRef>
              <c:f>pivot!$I$40</c:f>
              <c:strCache>
                <c:ptCount val="1"/>
                <c:pt idx="0">
                  <c:v>sel.call</c:v>
                </c:pt>
              </c:strCache>
            </c:strRef>
          </c:tx>
          <c:spPr>
            <a:solidFill>
              <a:srgbClr val="F2AC58"/>
            </a:solidFill>
            <a:ln>
              <a:noFill/>
            </a:ln>
            <a:effectLst/>
          </c:spPr>
          <c:invertIfNegative val="0"/>
          <c:val>
            <c:numRef>
              <c:f>pivot!$I$41:$I$45</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BF88-4F8B-9F45-BE2CDD1D444D}"/>
            </c:ext>
          </c:extLst>
        </c:ser>
        <c:dLbls>
          <c:showLegendKey val="0"/>
          <c:showVal val="0"/>
          <c:showCatName val="0"/>
          <c:showSerName val="0"/>
          <c:showPercent val="0"/>
          <c:showBubbleSize val="0"/>
        </c:dLbls>
        <c:gapWidth val="182"/>
        <c:overlap val="100"/>
        <c:axId val="1733550688"/>
        <c:axId val="1733551648"/>
      </c:barChart>
      <c:catAx>
        <c:axId val="1733550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1648"/>
        <c:crosses val="autoZero"/>
        <c:auto val="1"/>
        <c:lblAlgn val="ctr"/>
        <c:lblOffset val="100"/>
        <c:noMultiLvlLbl val="0"/>
      </c:catAx>
      <c:valAx>
        <c:axId val="1733551648"/>
        <c:scaling>
          <c:orientation val="minMax"/>
          <c:min val="0"/>
        </c:scaling>
        <c:delete val="1"/>
        <c:axPos val="t"/>
        <c:numFmt formatCode="General" sourceLinked="1"/>
        <c:majorTickMark val="out"/>
        <c:minorTickMark val="none"/>
        <c:tickLblPos val="nextTo"/>
        <c:crossAx val="17335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Amount</a:t>
            </a:r>
          </a:p>
        </c:rich>
      </c:tx>
      <c:layout>
        <c:manualLayout>
          <c:xMode val="edge"/>
          <c:yMode val="edge"/>
          <c:x val="0.3125390625000000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B7E56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pivot!$F$41:$F$45</c:f>
              <c:strCache>
                <c:ptCount val="5"/>
                <c:pt idx="0">
                  <c:v>R01</c:v>
                </c:pt>
                <c:pt idx="1">
                  <c:v>R02</c:v>
                </c:pt>
                <c:pt idx="2">
                  <c:v>R03</c:v>
                </c:pt>
                <c:pt idx="3">
                  <c:v>R04</c:v>
                </c:pt>
                <c:pt idx="4">
                  <c:v>R05</c:v>
                </c:pt>
              </c:strCache>
            </c:strRef>
          </c:cat>
          <c:val>
            <c:numRef>
              <c:f>pivot!$H$41:$H$45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EA5-4061-93AA-D96DC21780D9}"/>
            </c:ext>
          </c:extLst>
        </c:ser>
        <c:ser>
          <c:idx val="1"/>
          <c:order val="1"/>
          <c:tx>
            <c:strRef>
              <c:f>pivot!$J$40</c:f>
              <c:strCache>
                <c:ptCount val="1"/>
                <c:pt idx="0">
                  <c:v>sell.amt</c:v>
                </c:pt>
              </c:strCache>
            </c:strRef>
          </c:tx>
          <c:spPr>
            <a:solidFill>
              <a:srgbClr val="F2AC58"/>
            </a:solidFill>
            <a:ln>
              <a:noFill/>
            </a:ln>
            <a:effectLst/>
          </c:spPr>
          <c:invertIfNegative val="0"/>
          <c:val>
            <c:numRef>
              <c:f>pivot!$J$41:$J$45</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0EA5-4061-93AA-D96DC21780D9}"/>
            </c:ext>
          </c:extLst>
        </c:ser>
        <c:dLbls>
          <c:showLegendKey val="0"/>
          <c:showVal val="0"/>
          <c:showCatName val="0"/>
          <c:showSerName val="0"/>
          <c:showPercent val="0"/>
          <c:showBubbleSize val="0"/>
        </c:dLbls>
        <c:gapWidth val="182"/>
        <c:overlap val="100"/>
        <c:axId val="1733550688"/>
        <c:axId val="1733551648"/>
      </c:barChart>
      <c:catAx>
        <c:axId val="1733550688"/>
        <c:scaling>
          <c:orientation val="maxMin"/>
        </c:scaling>
        <c:delete val="1"/>
        <c:axPos val="l"/>
        <c:numFmt formatCode="General" sourceLinked="1"/>
        <c:majorTickMark val="none"/>
        <c:minorTickMark val="none"/>
        <c:tickLblPos val="nextTo"/>
        <c:crossAx val="1733551648"/>
        <c:crosses val="autoZero"/>
        <c:auto val="1"/>
        <c:lblAlgn val="ctr"/>
        <c:lblOffset val="100"/>
        <c:noMultiLvlLbl val="0"/>
      </c:catAx>
      <c:valAx>
        <c:axId val="1733551648"/>
        <c:scaling>
          <c:orientation val="minMax"/>
        </c:scaling>
        <c:delete val="1"/>
        <c:axPos val="t"/>
        <c:numFmt formatCode="&quot;£&quot;#,###.0,&quot;k&quot;" sourceLinked="1"/>
        <c:majorTickMark val="out"/>
        <c:minorTickMark val="none"/>
        <c:tickLblPos val="nextTo"/>
        <c:crossAx val="17335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[sample-data-excel-portfolio-project.xlsx]pivot!customer pivot</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Male vs Female Callers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E2FE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7E565"/>
          </a:solidFill>
          <a:ln>
            <a:solidFill>
              <a:srgbClr val="B7E56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FE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E565"/>
          </a:solidFill>
          <a:ln>
            <a:solidFill>
              <a:srgbClr val="B7E56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2FE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E565"/>
          </a:solidFill>
          <a:ln>
            <a:solidFill>
              <a:srgbClr val="B7E56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pivot!$G$51:$G$52</c:f>
              <c:strCache>
                <c:ptCount val="1"/>
                <c:pt idx="0">
                  <c:v>Female</c:v>
                </c:pt>
              </c:strCache>
            </c:strRef>
          </c:tx>
          <c:spPr>
            <a:solidFill>
              <a:srgbClr val="E2FE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pivot!$F$53:$F$56</c:f>
              <c:strCache>
                <c:ptCount val="3"/>
                <c:pt idx="0">
                  <c:v>Cincinnati</c:v>
                </c:pt>
                <c:pt idx="1">
                  <c:v>Cleveland</c:v>
                </c:pt>
                <c:pt idx="2">
                  <c:v>Columbus</c:v>
                </c:pt>
              </c:strCache>
            </c:strRef>
          </c:cat>
          <c:val>
            <c:numRef>
              <c:f>pivot!$G$53:$G$56</c:f>
              <c:numCache>
                <c:formatCode>#,##0</c:formatCode>
                <c:ptCount val="3"/>
                <c:pt idx="0">
                  <c:v>144</c:v>
                </c:pt>
                <c:pt idx="1">
                  <c:v>326</c:v>
                </c:pt>
                <c:pt idx="2">
                  <c:v>129</c:v>
                </c:pt>
              </c:numCache>
            </c:numRef>
          </c:val>
          <c:extLst>
            <c:ext xmlns:c16="http://schemas.microsoft.com/office/drawing/2014/chart" uri="{C3380CC4-5D6E-409C-BE32-E72D297353CC}">
              <c16:uniqueId val="{00000000-B0C1-4CBC-976D-493EA7B2DFDC}"/>
            </c:ext>
          </c:extLst>
        </c:ser>
        <c:ser>
          <c:idx val="1"/>
          <c:order val="1"/>
          <c:tx>
            <c:strRef>
              <c:f>pivot!$H$51:$H$52</c:f>
              <c:strCache>
                <c:ptCount val="1"/>
                <c:pt idx="0">
                  <c:v>Male</c:v>
                </c:pt>
              </c:strCache>
            </c:strRef>
          </c:tx>
          <c:spPr>
            <a:solidFill>
              <a:srgbClr val="B7E565"/>
            </a:solidFill>
            <a:ln>
              <a:solidFill>
                <a:srgbClr val="B7E56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pivot!$F$53:$F$56</c:f>
              <c:strCache>
                <c:ptCount val="3"/>
                <c:pt idx="0">
                  <c:v>Cincinnati</c:v>
                </c:pt>
                <c:pt idx="1">
                  <c:v>Cleveland</c:v>
                </c:pt>
                <c:pt idx="2">
                  <c:v>Columbus</c:v>
                </c:pt>
              </c:strCache>
            </c:strRef>
          </c:cat>
          <c:val>
            <c:numRef>
              <c:f>pivot!$H$53:$H$56</c:f>
              <c:numCache>
                <c:formatCode>#,##0</c:formatCode>
                <c:ptCount val="3"/>
                <c:pt idx="0">
                  <c:v>132</c:v>
                </c:pt>
                <c:pt idx="1">
                  <c:v>63</c:v>
                </c:pt>
                <c:pt idx="2">
                  <c:v>206</c:v>
                </c:pt>
              </c:numCache>
            </c:numRef>
          </c:val>
          <c:extLst>
            <c:ext xmlns:c16="http://schemas.microsoft.com/office/drawing/2014/chart" uri="{C3380CC4-5D6E-409C-BE32-E72D297353CC}">
              <c16:uniqueId val="{00000001-B0C1-4CBC-976D-493EA7B2DFDC}"/>
            </c:ext>
          </c:extLst>
        </c:ser>
        <c:dLbls>
          <c:dLblPos val="ctr"/>
          <c:showLegendKey val="0"/>
          <c:showVal val="1"/>
          <c:showCatName val="0"/>
          <c:showSerName val="0"/>
          <c:showPercent val="0"/>
          <c:showBubbleSize val="0"/>
        </c:dLbls>
        <c:gapWidth val="150"/>
        <c:overlap val="100"/>
        <c:axId val="1018880784"/>
        <c:axId val="1018881264"/>
      </c:barChart>
      <c:catAx>
        <c:axId val="1018880784"/>
        <c:scaling>
          <c:orientation val="minMax"/>
        </c:scaling>
        <c:delete val="1"/>
        <c:axPos val="b"/>
        <c:numFmt formatCode="General" sourceLinked="1"/>
        <c:majorTickMark val="out"/>
        <c:minorTickMark val="none"/>
        <c:tickLblPos val="nextTo"/>
        <c:crossAx val="1018881264"/>
        <c:crosses val="autoZero"/>
        <c:auto val="1"/>
        <c:lblAlgn val="ctr"/>
        <c:lblOffset val="100"/>
        <c:noMultiLvlLbl val="0"/>
      </c:catAx>
      <c:valAx>
        <c:axId val="1018881264"/>
        <c:scaling>
          <c:orientation val="minMax"/>
        </c:scaling>
        <c:delete val="1"/>
        <c:axPos val="l"/>
        <c:numFmt formatCode="0%" sourceLinked="1"/>
        <c:majorTickMark val="out"/>
        <c:minorTickMark val="none"/>
        <c:tickLblPos val="nextTo"/>
        <c:crossAx val="10188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[sample-data-excel-portfolio-project.xlsx]pivot!rep satisfaction</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pivot!$C$59</c:f>
              <c:strCache>
                <c:ptCount val="1"/>
                <c:pt idx="0">
                  <c:v>Total</c:v>
                </c:pt>
              </c:strCache>
            </c:strRef>
          </c:tx>
          <c:spPr>
            <a:solidFill>
              <a:srgbClr val="92D050"/>
            </a:solidFill>
            <a:ln>
              <a:solidFill>
                <a:srgbClr val="00B050"/>
              </a:solidFill>
            </a:ln>
            <a:effectLst/>
          </c:spPr>
          <c:invertIfNegative val="0"/>
          <c:cat>
            <c:strRef>
              <c:f>pivot!$B$60:$B$65</c:f>
              <c:strCache>
                <c:ptCount val="5"/>
                <c:pt idx="0">
                  <c:v>1</c:v>
                </c:pt>
                <c:pt idx="1">
                  <c:v>2</c:v>
                </c:pt>
                <c:pt idx="2">
                  <c:v>3</c:v>
                </c:pt>
                <c:pt idx="3">
                  <c:v>4</c:v>
                </c:pt>
                <c:pt idx="4">
                  <c:v>5</c:v>
                </c:pt>
              </c:strCache>
            </c:strRef>
          </c:cat>
          <c:val>
            <c:numRef>
              <c:f>pivot!$C$60:$C$65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C5BF-4D7D-8F05-9339A0970739}"/>
            </c:ext>
          </c:extLst>
        </c:ser>
        <c:dLbls>
          <c:showLegendKey val="0"/>
          <c:showVal val="0"/>
          <c:showCatName val="0"/>
          <c:showSerName val="0"/>
          <c:showPercent val="0"/>
          <c:showBubbleSize val="0"/>
        </c:dLbls>
        <c:gapWidth val="219"/>
        <c:overlap val="-27"/>
        <c:axId val="1734421664"/>
        <c:axId val="1700240048"/>
      </c:barChart>
      <c:catAx>
        <c:axId val="173442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40048"/>
        <c:crosses val="autoZero"/>
        <c:auto val="1"/>
        <c:lblAlgn val="ctr"/>
        <c:lblOffset val="100"/>
        <c:noMultiLvlLbl val="0"/>
      </c:catAx>
      <c:valAx>
        <c:axId val="1700240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42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4.xml"/><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3.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2.xml"/><Relationship Id="rId5" Type="http://schemas.openxmlformats.org/officeDocument/2006/relationships/image" Target="../media/image11.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10.svg"/><Relationship Id="rId9" Type="http://schemas.openxmlformats.org/officeDocument/2006/relationships/image" Target="../media/image15.pn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3.png"/><Relationship Id="rId7" Type="http://schemas.openxmlformats.org/officeDocument/2006/relationships/image" Target="../media/image16.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2.svg"/><Relationship Id="rId5" Type="http://schemas.openxmlformats.org/officeDocument/2006/relationships/image" Target="../media/image11.png"/><Relationship Id="rId10" Type="http://schemas.openxmlformats.org/officeDocument/2006/relationships/image" Target="../media/image8.svg"/><Relationship Id="rId4" Type="http://schemas.openxmlformats.org/officeDocument/2006/relationships/image" Target="../media/image14.sv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34636</xdr:colOff>
      <xdr:row>3</xdr:row>
      <xdr:rowOff>109680</xdr:rowOff>
    </xdr:from>
    <xdr:to>
      <xdr:col>4</xdr:col>
      <xdr:colOff>138545</xdr:colOff>
      <xdr:row>7</xdr:row>
      <xdr:rowOff>132772</xdr:rowOff>
    </xdr:to>
    <xdr:sp macro="" textlink="pivot!A4">
      <xdr:nvSpPr>
        <xdr:cNvPr id="2" name="Rectangle: Rounded Corners 1">
          <a:extLst>
            <a:ext uri="{FF2B5EF4-FFF2-40B4-BE49-F238E27FC236}">
              <a16:creationId xmlns:a16="http://schemas.microsoft.com/office/drawing/2014/main" id="{50A493BC-B780-5189-EF9E-2D91AE00C8EF}"/>
            </a:ext>
          </a:extLst>
        </xdr:cNvPr>
        <xdr:cNvSpPr/>
      </xdr:nvSpPr>
      <xdr:spPr>
        <a:xfrm>
          <a:off x="613192" y="476569"/>
          <a:ext cx="1430353" cy="756870"/>
        </a:xfrm>
        <a:prstGeom prst="roundRect">
          <a:avLst/>
        </a:prstGeom>
        <a:solidFill>
          <a:srgbClr val="B7E565"/>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4D4D17-3A61-431B-8A44-A442CE1B5EC5}" type="TxLink">
            <a:rPr lang="en-US" sz="1400" b="1" i="0" u="none" strike="noStrike">
              <a:solidFill>
                <a:srgbClr val="000000"/>
              </a:solidFill>
              <a:latin typeface="+mj-lt"/>
              <a:cs typeface="Aparajita" panose="020B0502040204020203" pitchFamily="18" charset="0"/>
            </a:rPr>
            <a:pPr algn="ctr"/>
            <a:t>1,000</a:t>
          </a:fld>
          <a:endParaRPr lang="en-GB" sz="1400" b="1">
            <a:latin typeface="+mj-lt"/>
            <a:cs typeface="Aparajita" panose="020B0502040204020203" pitchFamily="18" charset="0"/>
          </a:endParaRPr>
        </a:p>
      </xdr:txBody>
    </xdr:sp>
    <xdr:clientData/>
  </xdr:twoCellAnchor>
  <xdr:twoCellAnchor>
    <xdr:from>
      <xdr:col>2</xdr:col>
      <xdr:colOff>404090</xdr:colOff>
      <xdr:row>3</xdr:row>
      <xdr:rowOff>138544</xdr:rowOff>
    </xdr:from>
    <xdr:to>
      <xdr:col>3</xdr:col>
      <xdr:colOff>427181</xdr:colOff>
      <xdr:row>4</xdr:row>
      <xdr:rowOff>173181</xdr:rowOff>
    </xdr:to>
    <xdr:sp macro="" textlink="">
      <xdr:nvSpPr>
        <xdr:cNvPr id="3" name="TextBox 2">
          <a:extLst>
            <a:ext uri="{FF2B5EF4-FFF2-40B4-BE49-F238E27FC236}">
              <a16:creationId xmlns:a16="http://schemas.microsoft.com/office/drawing/2014/main" id="{02C28EC2-EF92-AEA9-87B1-160EFFB3019D}"/>
            </a:ext>
          </a:extLst>
        </xdr:cNvPr>
        <xdr:cNvSpPr txBox="1"/>
      </xdr:nvSpPr>
      <xdr:spPr>
        <a:xfrm>
          <a:off x="981363" y="507999"/>
          <a:ext cx="681182" cy="21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chemeClr val="tx1">
                  <a:lumMod val="65000"/>
                  <a:lumOff val="35000"/>
                </a:schemeClr>
              </a:solidFill>
              <a:latin typeface="+mj-lt"/>
            </a:rPr>
            <a:t>Calls</a:t>
          </a:r>
        </a:p>
        <a:p>
          <a:pPr algn="ctr"/>
          <a:endParaRPr lang="en-GB" sz="1000">
            <a:latin typeface="+mj-lt"/>
          </a:endParaRPr>
        </a:p>
      </xdr:txBody>
    </xdr:sp>
    <xdr:clientData/>
  </xdr:twoCellAnchor>
  <xdr:twoCellAnchor editAs="oneCell">
    <xdr:from>
      <xdr:col>2</xdr:col>
      <xdr:colOff>117642</xdr:colOff>
      <xdr:row>4</xdr:row>
      <xdr:rowOff>115454</xdr:rowOff>
    </xdr:from>
    <xdr:to>
      <xdr:col>2</xdr:col>
      <xdr:colOff>380999</xdr:colOff>
      <xdr:row>6</xdr:row>
      <xdr:rowOff>3518</xdr:rowOff>
    </xdr:to>
    <xdr:pic>
      <xdr:nvPicPr>
        <xdr:cNvPr id="5" name="Graphic 4" descr="Receiver with solid fill">
          <a:extLst>
            <a:ext uri="{FF2B5EF4-FFF2-40B4-BE49-F238E27FC236}">
              <a16:creationId xmlns:a16="http://schemas.microsoft.com/office/drawing/2014/main" id="{17FCBA8F-8F76-4CAA-872E-FDEC75A416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915" y="669636"/>
          <a:ext cx="263357" cy="252707"/>
        </a:xfrm>
        <a:prstGeom prst="rect">
          <a:avLst/>
        </a:prstGeom>
      </xdr:spPr>
    </xdr:pic>
    <xdr:clientData/>
  </xdr:twoCellAnchor>
  <xdr:twoCellAnchor>
    <xdr:from>
      <xdr:col>2</xdr:col>
      <xdr:colOff>334818</xdr:colOff>
      <xdr:row>6</xdr:row>
      <xdr:rowOff>103910</xdr:rowOff>
    </xdr:from>
    <xdr:to>
      <xdr:col>3</xdr:col>
      <xdr:colOff>461818</xdr:colOff>
      <xdr:row>7</xdr:row>
      <xdr:rowOff>109682</xdr:rowOff>
    </xdr:to>
    <xdr:sp macro="" textlink="pivot!A17">
      <xdr:nvSpPr>
        <xdr:cNvPr id="6" name="TextBox 5">
          <a:extLst>
            <a:ext uri="{FF2B5EF4-FFF2-40B4-BE49-F238E27FC236}">
              <a16:creationId xmlns:a16="http://schemas.microsoft.com/office/drawing/2014/main" id="{1129ADD9-8157-6E20-1C44-A06D4DFA4EF8}"/>
            </a:ext>
          </a:extLst>
        </xdr:cNvPr>
        <xdr:cNvSpPr txBox="1"/>
      </xdr:nvSpPr>
      <xdr:spPr>
        <a:xfrm>
          <a:off x="912091" y="1027546"/>
          <a:ext cx="7850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1CA05D-2E6D-4C86-913D-A11A1442A8D1}" type="TxLink">
            <a:rPr lang="en-US" sz="1100" b="0" i="0" u="none" strike="noStrike">
              <a:solidFill>
                <a:srgbClr val="0033CC"/>
              </a:solidFill>
              <a:latin typeface="+mj-lt"/>
            </a:rPr>
            <a:pPr algn="ctr"/>
            <a:t>218</a:t>
          </a:fld>
          <a:endParaRPr lang="en-GB" sz="1100">
            <a:solidFill>
              <a:srgbClr val="0033CC"/>
            </a:solidFill>
            <a:latin typeface="+mj-lt"/>
          </a:endParaRPr>
        </a:p>
      </xdr:txBody>
    </xdr:sp>
    <xdr:clientData/>
  </xdr:twoCellAnchor>
  <xdr:twoCellAnchor>
    <xdr:from>
      <xdr:col>2</xdr:col>
      <xdr:colOff>34636</xdr:colOff>
      <xdr:row>10</xdr:row>
      <xdr:rowOff>109680</xdr:rowOff>
    </xdr:from>
    <xdr:to>
      <xdr:col>4</xdr:col>
      <xdr:colOff>138545</xdr:colOff>
      <xdr:row>14</xdr:row>
      <xdr:rowOff>132772</xdr:rowOff>
    </xdr:to>
    <xdr:sp macro="" textlink="pivot!B4">
      <xdr:nvSpPr>
        <xdr:cNvPr id="8" name="Rectangle: Rounded Corners 7">
          <a:extLst>
            <a:ext uri="{FF2B5EF4-FFF2-40B4-BE49-F238E27FC236}">
              <a16:creationId xmlns:a16="http://schemas.microsoft.com/office/drawing/2014/main" id="{C34B5D81-80C5-4B80-BE79-0893E7993249}"/>
            </a:ext>
          </a:extLst>
        </xdr:cNvPr>
        <xdr:cNvSpPr/>
      </xdr:nvSpPr>
      <xdr:spPr>
        <a:xfrm>
          <a:off x="613192" y="1760680"/>
          <a:ext cx="1430353" cy="756870"/>
        </a:xfrm>
        <a:prstGeom prst="roundRect">
          <a:avLst/>
        </a:prstGeom>
        <a:solidFill>
          <a:srgbClr val="B7E565"/>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D492DD-C56D-4A0D-827D-A7F5FE4F4383}" type="TxLink">
            <a:rPr lang="en-US" sz="1100" b="0" i="0" u="none" strike="noStrike">
              <a:solidFill>
                <a:srgbClr val="000000"/>
              </a:solidFill>
              <a:latin typeface="+mj-lt"/>
              <a:cs typeface="Aparajita" panose="020B0502040204020203" pitchFamily="18" charset="0"/>
            </a:rPr>
            <a:t>£96,623</a:t>
          </a:fld>
          <a:endParaRPr lang="en-GB" sz="2000" b="1">
            <a:latin typeface="+mj-lt"/>
            <a:cs typeface="Aparajita" panose="020B0502040204020203" pitchFamily="18" charset="0"/>
          </a:endParaRPr>
        </a:p>
      </xdr:txBody>
    </xdr:sp>
    <xdr:clientData/>
  </xdr:twoCellAnchor>
  <xdr:twoCellAnchor>
    <xdr:from>
      <xdr:col>2</xdr:col>
      <xdr:colOff>294409</xdr:colOff>
      <xdr:row>10</xdr:row>
      <xdr:rowOff>155864</xdr:rowOff>
    </xdr:from>
    <xdr:to>
      <xdr:col>3</xdr:col>
      <xdr:colOff>652318</xdr:colOff>
      <xdr:row>11</xdr:row>
      <xdr:rowOff>173181</xdr:rowOff>
    </xdr:to>
    <xdr:sp macro="" textlink="">
      <xdr:nvSpPr>
        <xdr:cNvPr id="9" name="TextBox 8">
          <a:extLst>
            <a:ext uri="{FF2B5EF4-FFF2-40B4-BE49-F238E27FC236}">
              <a16:creationId xmlns:a16="http://schemas.microsoft.com/office/drawing/2014/main" id="{D5F940FB-8EC4-4302-81EA-E74A9B7F805A}"/>
            </a:ext>
          </a:extLst>
        </xdr:cNvPr>
        <xdr:cNvSpPr txBox="1"/>
      </xdr:nvSpPr>
      <xdr:spPr>
        <a:xfrm>
          <a:off x="871682" y="1818409"/>
          <a:ext cx="1016000" cy="20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chemeClr val="tx1">
                  <a:lumMod val="65000"/>
                  <a:lumOff val="35000"/>
                </a:schemeClr>
              </a:solidFill>
              <a:latin typeface="+mj-lt"/>
            </a:rPr>
            <a:t>Amount</a:t>
          </a:r>
        </a:p>
        <a:p>
          <a:pPr algn="ctr"/>
          <a:endParaRPr lang="en-GB" sz="800">
            <a:latin typeface="+mj-lt"/>
          </a:endParaRPr>
        </a:p>
      </xdr:txBody>
    </xdr:sp>
    <xdr:clientData/>
  </xdr:twoCellAnchor>
  <xdr:twoCellAnchor>
    <xdr:from>
      <xdr:col>2</xdr:col>
      <xdr:colOff>334818</xdr:colOff>
      <xdr:row>13</xdr:row>
      <xdr:rowOff>103910</xdr:rowOff>
    </xdr:from>
    <xdr:to>
      <xdr:col>3</xdr:col>
      <xdr:colOff>461818</xdr:colOff>
      <xdr:row>14</xdr:row>
      <xdr:rowOff>109682</xdr:rowOff>
    </xdr:to>
    <xdr:sp macro="" textlink="pivot!B17">
      <xdr:nvSpPr>
        <xdr:cNvPr id="11" name="TextBox 10">
          <a:extLst>
            <a:ext uri="{FF2B5EF4-FFF2-40B4-BE49-F238E27FC236}">
              <a16:creationId xmlns:a16="http://schemas.microsoft.com/office/drawing/2014/main" id="{AF7CA312-4B96-42A4-955E-C77ACB6AD8BE}"/>
            </a:ext>
          </a:extLst>
        </xdr:cNvPr>
        <xdr:cNvSpPr txBox="1"/>
      </xdr:nvSpPr>
      <xdr:spPr>
        <a:xfrm>
          <a:off x="912091" y="1027546"/>
          <a:ext cx="7850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2789F6-9DF2-41C6-8EFC-522B7B6BE7FA}" type="TxLink">
            <a:rPr lang="en-US" sz="1000" b="0" i="0" u="none" strike="noStrike">
              <a:solidFill>
                <a:srgbClr val="0033CC"/>
              </a:solidFill>
              <a:latin typeface="+mj-lt"/>
            </a:rPr>
            <a:t>£20,581</a:t>
          </a:fld>
          <a:endParaRPr lang="en-GB" sz="1000">
            <a:solidFill>
              <a:srgbClr val="0033CC"/>
            </a:solidFill>
            <a:latin typeface="+mj-lt"/>
          </a:endParaRPr>
        </a:p>
      </xdr:txBody>
    </xdr:sp>
    <xdr:clientData/>
  </xdr:twoCellAnchor>
  <xdr:twoCellAnchor>
    <xdr:from>
      <xdr:col>2</xdr:col>
      <xdr:colOff>34636</xdr:colOff>
      <xdr:row>17</xdr:row>
      <xdr:rowOff>109680</xdr:rowOff>
    </xdr:from>
    <xdr:to>
      <xdr:col>4</xdr:col>
      <xdr:colOff>138545</xdr:colOff>
      <xdr:row>21</xdr:row>
      <xdr:rowOff>132772</xdr:rowOff>
    </xdr:to>
    <xdr:sp macro="" textlink="pivot!C4">
      <xdr:nvSpPr>
        <xdr:cNvPr id="12" name="Rectangle: Rounded Corners 11">
          <a:extLst>
            <a:ext uri="{FF2B5EF4-FFF2-40B4-BE49-F238E27FC236}">
              <a16:creationId xmlns:a16="http://schemas.microsoft.com/office/drawing/2014/main" id="{40611F8C-F006-4049-A4E4-BB4513714833}"/>
            </a:ext>
          </a:extLst>
        </xdr:cNvPr>
        <xdr:cNvSpPr/>
      </xdr:nvSpPr>
      <xdr:spPr>
        <a:xfrm>
          <a:off x="613192" y="3044791"/>
          <a:ext cx="1430353" cy="756870"/>
        </a:xfrm>
        <a:prstGeom prst="roundRect">
          <a:avLst/>
        </a:prstGeom>
        <a:solidFill>
          <a:srgbClr val="B7E565"/>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FE862E-3017-471B-824F-095A8EE5FDA4}" type="TxLink">
            <a:rPr lang="en-US" sz="1100" b="0" i="0" u="none" strike="noStrike">
              <a:solidFill>
                <a:srgbClr val="000000"/>
              </a:solidFill>
              <a:latin typeface="+mj-lt"/>
              <a:cs typeface="Aparajita" panose="020B0502040204020203" pitchFamily="18" charset="0"/>
            </a:rPr>
            <a:t>89,850</a:t>
          </a:fld>
          <a:endParaRPr lang="en-GB" sz="2000" b="1">
            <a:latin typeface="+mj-lt"/>
            <a:cs typeface="Aparajita" panose="020B0502040204020203" pitchFamily="18" charset="0"/>
          </a:endParaRPr>
        </a:p>
      </xdr:txBody>
    </xdr:sp>
    <xdr:clientData/>
  </xdr:twoCellAnchor>
  <xdr:twoCellAnchor>
    <xdr:from>
      <xdr:col>2</xdr:col>
      <xdr:colOff>207818</xdr:colOff>
      <xdr:row>17</xdr:row>
      <xdr:rowOff>115455</xdr:rowOff>
    </xdr:from>
    <xdr:to>
      <xdr:col>4</xdr:col>
      <xdr:colOff>5772</xdr:colOff>
      <xdr:row>18</xdr:row>
      <xdr:rowOff>173180</xdr:rowOff>
    </xdr:to>
    <xdr:sp macro="" textlink="">
      <xdr:nvSpPr>
        <xdr:cNvPr id="13" name="TextBox 12">
          <a:extLst>
            <a:ext uri="{FF2B5EF4-FFF2-40B4-BE49-F238E27FC236}">
              <a16:creationId xmlns:a16="http://schemas.microsoft.com/office/drawing/2014/main" id="{DC742CDD-DB3C-43E2-82CF-3EDB48BF288F}"/>
            </a:ext>
          </a:extLst>
        </xdr:cNvPr>
        <xdr:cNvSpPr txBox="1"/>
      </xdr:nvSpPr>
      <xdr:spPr>
        <a:xfrm>
          <a:off x="785091" y="3071091"/>
          <a:ext cx="1114136" cy="24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chemeClr val="tx1">
                  <a:lumMod val="65000"/>
                  <a:lumOff val="35000"/>
                </a:schemeClr>
              </a:solidFill>
              <a:latin typeface="+mj-lt"/>
            </a:rPr>
            <a:t>Duration</a:t>
          </a:r>
        </a:p>
        <a:p>
          <a:pPr algn="ctr"/>
          <a:endParaRPr lang="en-GB" sz="800">
            <a:latin typeface="+mj-lt"/>
          </a:endParaRPr>
        </a:p>
      </xdr:txBody>
    </xdr:sp>
    <xdr:clientData/>
  </xdr:twoCellAnchor>
  <xdr:twoCellAnchor>
    <xdr:from>
      <xdr:col>2</xdr:col>
      <xdr:colOff>334818</xdr:colOff>
      <xdr:row>20</xdr:row>
      <xdr:rowOff>103910</xdr:rowOff>
    </xdr:from>
    <xdr:to>
      <xdr:col>3</xdr:col>
      <xdr:colOff>461818</xdr:colOff>
      <xdr:row>21</xdr:row>
      <xdr:rowOff>109682</xdr:rowOff>
    </xdr:to>
    <xdr:sp macro="" textlink="pivot!C17">
      <xdr:nvSpPr>
        <xdr:cNvPr id="15" name="TextBox 14">
          <a:extLst>
            <a:ext uri="{FF2B5EF4-FFF2-40B4-BE49-F238E27FC236}">
              <a16:creationId xmlns:a16="http://schemas.microsoft.com/office/drawing/2014/main" id="{78CDAD6C-9461-4ACD-8336-A71E827F4F30}"/>
            </a:ext>
          </a:extLst>
        </xdr:cNvPr>
        <xdr:cNvSpPr txBox="1"/>
      </xdr:nvSpPr>
      <xdr:spPr>
        <a:xfrm>
          <a:off x="912091" y="1027546"/>
          <a:ext cx="7850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AF081D-31E8-4AFE-B1FC-581CE0D97AC4}" type="TxLink">
            <a:rPr lang="en-US" sz="1000" b="1" i="0" u="none" strike="noStrike">
              <a:solidFill>
                <a:srgbClr val="0033CC"/>
              </a:solidFill>
              <a:latin typeface="+mj-lt"/>
            </a:rPr>
            <a:t>19,300</a:t>
          </a:fld>
          <a:endParaRPr lang="en-GB" sz="1000" b="1">
            <a:solidFill>
              <a:srgbClr val="0033CC"/>
            </a:solidFill>
            <a:latin typeface="+mj-lt"/>
          </a:endParaRPr>
        </a:p>
      </xdr:txBody>
    </xdr:sp>
    <xdr:clientData/>
  </xdr:twoCellAnchor>
  <xdr:twoCellAnchor>
    <xdr:from>
      <xdr:col>2</xdr:col>
      <xdr:colOff>34636</xdr:colOff>
      <xdr:row>24</xdr:row>
      <xdr:rowOff>109680</xdr:rowOff>
    </xdr:from>
    <xdr:to>
      <xdr:col>4</xdr:col>
      <xdr:colOff>138545</xdr:colOff>
      <xdr:row>28</xdr:row>
      <xdr:rowOff>132772</xdr:rowOff>
    </xdr:to>
    <xdr:sp macro="" textlink="pivot!D4">
      <xdr:nvSpPr>
        <xdr:cNvPr id="16" name="Rectangle: Rounded Corners 15">
          <a:extLst>
            <a:ext uri="{FF2B5EF4-FFF2-40B4-BE49-F238E27FC236}">
              <a16:creationId xmlns:a16="http://schemas.microsoft.com/office/drawing/2014/main" id="{FFDF7D49-49F5-4496-A026-E01868AC1F14}"/>
            </a:ext>
          </a:extLst>
        </xdr:cNvPr>
        <xdr:cNvSpPr/>
      </xdr:nvSpPr>
      <xdr:spPr>
        <a:xfrm>
          <a:off x="611909" y="479135"/>
          <a:ext cx="1420091" cy="762001"/>
        </a:xfrm>
        <a:prstGeom prst="roundRect">
          <a:avLst/>
        </a:prstGeom>
        <a:solidFill>
          <a:srgbClr val="B7E565"/>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0E3F24-D0AD-480C-87CC-34B247135EEC}" type="TxLink">
            <a:rPr lang="en-US" sz="1100" b="0" i="0" u="none" strike="noStrike">
              <a:solidFill>
                <a:srgbClr val="000000"/>
              </a:solidFill>
              <a:latin typeface="+mj-lt"/>
              <a:cs typeface="Aparajita" panose="020B0502040204020203" pitchFamily="18" charset="0"/>
            </a:rPr>
            <a:t>3.9</a:t>
          </a:fld>
          <a:endParaRPr lang="en-GB" sz="2000" b="1">
            <a:latin typeface="+mj-lt"/>
            <a:cs typeface="Aparajita" panose="020B0502040204020203" pitchFamily="18" charset="0"/>
          </a:endParaRPr>
        </a:p>
      </xdr:txBody>
    </xdr:sp>
    <xdr:clientData/>
  </xdr:twoCellAnchor>
  <xdr:twoCellAnchor>
    <xdr:from>
      <xdr:col>2</xdr:col>
      <xdr:colOff>196272</xdr:colOff>
      <xdr:row>24</xdr:row>
      <xdr:rowOff>109683</xdr:rowOff>
    </xdr:from>
    <xdr:to>
      <xdr:col>4</xdr:col>
      <xdr:colOff>5772</xdr:colOff>
      <xdr:row>26</xdr:row>
      <xdr:rowOff>0</xdr:rowOff>
    </xdr:to>
    <xdr:sp macro="" textlink="">
      <xdr:nvSpPr>
        <xdr:cNvPr id="17" name="TextBox 16">
          <a:extLst>
            <a:ext uri="{FF2B5EF4-FFF2-40B4-BE49-F238E27FC236}">
              <a16:creationId xmlns:a16="http://schemas.microsoft.com/office/drawing/2014/main" id="{B57EB6BA-28AF-47B1-A0A3-9EB39AE2F477}"/>
            </a:ext>
          </a:extLst>
        </xdr:cNvPr>
        <xdr:cNvSpPr txBox="1"/>
      </xdr:nvSpPr>
      <xdr:spPr>
        <a:xfrm>
          <a:off x="773545" y="4358410"/>
          <a:ext cx="1125682"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chemeClr val="tx1">
                  <a:lumMod val="65000"/>
                  <a:lumOff val="35000"/>
                </a:schemeClr>
              </a:solidFill>
              <a:latin typeface="+mj-lt"/>
            </a:rPr>
            <a:t>Average Rating</a:t>
          </a:r>
        </a:p>
        <a:p>
          <a:pPr algn="ctr"/>
          <a:endParaRPr lang="en-GB" sz="800">
            <a:latin typeface="+mj-lt"/>
          </a:endParaRPr>
        </a:p>
      </xdr:txBody>
    </xdr:sp>
    <xdr:clientData/>
  </xdr:twoCellAnchor>
  <xdr:twoCellAnchor>
    <xdr:from>
      <xdr:col>2</xdr:col>
      <xdr:colOff>334818</xdr:colOff>
      <xdr:row>27</xdr:row>
      <xdr:rowOff>103910</xdr:rowOff>
    </xdr:from>
    <xdr:to>
      <xdr:col>3</xdr:col>
      <xdr:colOff>461818</xdr:colOff>
      <xdr:row>28</xdr:row>
      <xdr:rowOff>109682</xdr:rowOff>
    </xdr:to>
    <xdr:sp macro="" textlink="pivot!D17">
      <xdr:nvSpPr>
        <xdr:cNvPr id="19" name="TextBox 18">
          <a:extLst>
            <a:ext uri="{FF2B5EF4-FFF2-40B4-BE49-F238E27FC236}">
              <a16:creationId xmlns:a16="http://schemas.microsoft.com/office/drawing/2014/main" id="{DF1F74C0-4684-4CA8-84D2-3316B5B09FC4}"/>
            </a:ext>
          </a:extLst>
        </xdr:cNvPr>
        <xdr:cNvSpPr txBox="1"/>
      </xdr:nvSpPr>
      <xdr:spPr>
        <a:xfrm>
          <a:off x="912091" y="1027546"/>
          <a:ext cx="7850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2618E4-22BF-4CA0-A50B-03C061C04944}" type="TxLink">
            <a:rPr lang="en-US" sz="1000" b="0" i="0" u="none" strike="noStrike">
              <a:solidFill>
                <a:srgbClr val="0033CC"/>
              </a:solidFill>
              <a:latin typeface="+mj-lt"/>
            </a:rPr>
            <a:t>3.9</a:t>
          </a:fld>
          <a:endParaRPr lang="en-GB" sz="1000">
            <a:solidFill>
              <a:srgbClr val="0033CC"/>
            </a:solidFill>
            <a:latin typeface="+mj-lt"/>
          </a:endParaRPr>
        </a:p>
      </xdr:txBody>
    </xdr:sp>
    <xdr:clientData/>
  </xdr:twoCellAnchor>
  <xdr:twoCellAnchor>
    <xdr:from>
      <xdr:col>2</xdr:col>
      <xdr:colOff>0</xdr:colOff>
      <xdr:row>32</xdr:row>
      <xdr:rowOff>0</xdr:rowOff>
    </xdr:from>
    <xdr:to>
      <xdr:col>4</xdr:col>
      <xdr:colOff>103909</xdr:colOff>
      <xdr:row>36</xdr:row>
      <xdr:rowOff>23092</xdr:rowOff>
    </xdr:to>
    <xdr:sp macro="" textlink="pivot!E4">
      <xdr:nvSpPr>
        <xdr:cNvPr id="44" name="Rectangle: Rounded Corners 43">
          <a:extLst>
            <a:ext uri="{FF2B5EF4-FFF2-40B4-BE49-F238E27FC236}">
              <a16:creationId xmlns:a16="http://schemas.microsoft.com/office/drawing/2014/main" id="{64201E44-F87D-4DBB-9337-CBCE239B7B6A}"/>
            </a:ext>
          </a:extLst>
        </xdr:cNvPr>
        <xdr:cNvSpPr/>
      </xdr:nvSpPr>
      <xdr:spPr>
        <a:xfrm>
          <a:off x="578556" y="5686778"/>
          <a:ext cx="1430353" cy="756870"/>
        </a:xfrm>
        <a:prstGeom prst="roundRect">
          <a:avLst/>
        </a:prstGeom>
        <a:solidFill>
          <a:srgbClr val="B7E565"/>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0565A3-0CFC-46EC-90C8-9EA7123C427B}" type="TxLink">
            <a:rPr lang="en-US" sz="1100" b="1" i="0" u="none" strike="noStrike">
              <a:solidFill>
                <a:srgbClr val="000000"/>
              </a:solidFill>
              <a:latin typeface="+mj-lt"/>
              <a:cs typeface="Aparajita" panose="020B0502040204020203" pitchFamily="18" charset="0"/>
            </a:rPr>
            <a:t>307</a:t>
          </a:fld>
          <a:endParaRPr lang="en-GB" sz="2000" b="1">
            <a:latin typeface="+mj-lt"/>
            <a:cs typeface="Aparajita" panose="020B0502040204020203" pitchFamily="18" charset="0"/>
          </a:endParaRPr>
        </a:p>
      </xdr:txBody>
    </xdr:sp>
    <xdr:clientData/>
  </xdr:twoCellAnchor>
  <xdr:twoCellAnchor>
    <xdr:from>
      <xdr:col>2</xdr:col>
      <xdr:colOff>363682</xdr:colOff>
      <xdr:row>32</xdr:row>
      <xdr:rowOff>23093</xdr:rowOff>
    </xdr:from>
    <xdr:to>
      <xdr:col>3</xdr:col>
      <xdr:colOff>386773</xdr:colOff>
      <xdr:row>33</xdr:row>
      <xdr:rowOff>57729</xdr:rowOff>
    </xdr:to>
    <xdr:sp macro="" textlink="">
      <xdr:nvSpPr>
        <xdr:cNvPr id="45" name="TextBox 44">
          <a:extLst>
            <a:ext uri="{FF2B5EF4-FFF2-40B4-BE49-F238E27FC236}">
              <a16:creationId xmlns:a16="http://schemas.microsoft.com/office/drawing/2014/main" id="{51D78301-334E-4034-AD9A-119055F75847}"/>
            </a:ext>
          </a:extLst>
        </xdr:cNvPr>
        <xdr:cNvSpPr txBox="1"/>
      </xdr:nvSpPr>
      <xdr:spPr>
        <a:xfrm>
          <a:off x="942238" y="5709871"/>
          <a:ext cx="686313" cy="218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chemeClr val="tx1">
                  <a:lumMod val="65000"/>
                  <a:lumOff val="35000"/>
                </a:schemeClr>
              </a:solidFill>
              <a:latin typeface="+mj-lt"/>
            </a:rPr>
            <a:t>5* </a:t>
          </a:r>
          <a:r>
            <a:rPr lang="en-GB" sz="1050">
              <a:solidFill>
                <a:schemeClr val="tx1">
                  <a:lumMod val="65000"/>
                  <a:lumOff val="35000"/>
                </a:schemeClr>
              </a:solidFill>
              <a:latin typeface="+mj-lt"/>
            </a:rPr>
            <a:t>Calls</a:t>
          </a:r>
        </a:p>
        <a:p>
          <a:pPr algn="ctr"/>
          <a:endParaRPr lang="en-GB" sz="1000">
            <a:latin typeface="+mj-lt"/>
          </a:endParaRPr>
        </a:p>
      </xdr:txBody>
    </xdr:sp>
    <xdr:clientData/>
  </xdr:twoCellAnchor>
  <xdr:oneCellAnchor>
    <xdr:from>
      <xdr:col>2</xdr:col>
      <xdr:colOff>88331</xdr:colOff>
      <xdr:row>33</xdr:row>
      <xdr:rowOff>5774</xdr:rowOff>
    </xdr:from>
    <xdr:ext cx="403448" cy="403448"/>
    <xdr:pic>
      <xdr:nvPicPr>
        <xdr:cNvPr id="46" name="Graphic 45">
          <a:extLst>
            <a:ext uri="{FF2B5EF4-FFF2-40B4-BE49-F238E27FC236}">
              <a16:creationId xmlns:a16="http://schemas.microsoft.com/office/drawing/2014/main" id="{58F08F79-342D-4B9E-86D1-805E8F78B0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66887" y="5875996"/>
          <a:ext cx="403448" cy="403448"/>
        </a:xfrm>
        <a:prstGeom prst="rect">
          <a:avLst/>
        </a:prstGeom>
      </xdr:spPr>
    </xdr:pic>
    <xdr:clientData/>
  </xdr:oneCellAnchor>
  <xdr:twoCellAnchor>
    <xdr:from>
      <xdr:col>2</xdr:col>
      <xdr:colOff>317500</xdr:colOff>
      <xdr:row>34</xdr:row>
      <xdr:rowOff>177674</xdr:rowOff>
    </xdr:from>
    <xdr:to>
      <xdr:col>3</xdr:col>
      <xdr:colOff>444500</xdr:colOff>
      <xdr:row>36</xdr:row>
      <xdr:rowOff>2</xdr:rowOff>
    </xdr:to>
    <xdr:sp macro="" textlink="pivot!E17">
      <xdr:nvSpPr>
        <xdr:cNvPr id="47" name="TextBox 46">
          <a:extLst>
            <a:ext uri="{FF2B5EF4-FFF2-40B4-BE49-F238E27FC236}">
              <a16:creationId xmlns:a16="http://schemas.microsoft.com/office/drawing/2014/main" id="{5E9FE95E-77A8-44CD-B685-8586457E629E}"/>
            </a:ext>
          </a:extLst>
        </xdr:cNvPr>
        <xdr:cNvSpPr txBox="1"/>
      </xdr:nvSpPr>
      <xdr:spPr>
        <a:xfrm>
          <a:off x="896056" y="6231341"/>
          <a:ext cx="790222" cy="18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81ED20-A0F1-4A1F-8125-D6ACABAE4D22}" type="TxLink">
            <a:rPr lang="en-US" sz="1100" b="0" i="0" u="none" strike="noStrike">
              <a:solidFill>
                <a:srgbClr val="0033CC"/>
              </a:solidFill>
              <a:latin typeface="+mj-lt"/>
            </a:rPr>
            <a:t>74</a:t>
          </a:fld>
          <a:endParaRPr lang="en-GB" sz="1100">
            <a:solidFill>
              <a:srgbClr val="0033CC"/>
            </a:solidFill>
            <a:latin typeface="+mj-lt"/>
          </a:endParaRPr>
        </a:p>
      </xdr:txBody>
    </xdr:sp>
    <xdr:clientData/>
  </xdr:twoCellAnchor>
  <xdr:twoCellAnchor editAs="oneCell">
    <xdr:from>
      <xdr:col>2</xdr:col>
      <xdr:colOff>89797</xdr:colOff>
      <xdr:row>11</xdr:row>
      <xdr:rowOff>126357</xdr:rowOff>
    </xdr:from>
    <xdr:to>
      <xdr:col>2</xdr:col>
      <xdr:colOff>423332</xdr:colOff>
      <xdr:row>13</xdr:row>
      <xdr:rowOff>72772</xdr:rowOff>
    </xdr:to>
    <xdr:pic>
      <xdr:nvPicPr>
        <xdr:cNvPr id="49" name="Graphic 48" descr="Shopping cart with solid fill">
          <a:extLst>
            <a:ext uri="{FF2B5EF4-FFF2-40B4-BE49-F238E27FC236}">
              <a16:creationId xmlns:a16="http://schemas.microsoft.com/office/drawing/2014/main" id="{09FF595E-BAAD-44C9-9620-08632B915C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8353" y="1960801"/>
          <a:ext cx="333535" cy="313304"/>
        </a:xfrm>
        <a:prstGeom prst="rect">
          <a:avLst/>
        </a:prstGeom>
      </xdr:spPr>
    </xdr:pic>
    <xdr:clientData/>
  </xdr:twoCellAnchor>
  <xdr:twoCellAnchor editAs="oneCell">
    <xdr:from>
      <xdr:col>2</xdr:col>
      <xdr:colOff>61576</xdr:colOff>
      <xdr:row>18</xdr:row>
      <xdr:rowOff>168690</xdr:rowOff>
    </xdr:from>
    <xdr:to>
      <xdr:col>2</xdr:col>
      <xdr:colOff>402166</xdr:colOff>
      <xdr:row>20</xdr:row>
      <xdr:rowOff>135506</xdr:rowOff>
    </xdr:to>
    <xdr:pic>
      <xdr:nvPicPr>
        <xdr:cNvPr id="51" name="Graphic 50" descr="Hourglass Finished with solid fill">
          <a:extLst>
            <a:ext uri="{FF2B5EF4-FFF2-40B4-BE49-F238E27FC236}">
              <a16:creationId xmlns:a16="http://schemas.microsoft.com/office/drawing/2014/main" id="{32ECFD9F-49D9-441E-BA03-75C1061FF6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0132" y="3287246"/>
          <a:ext cx="340590" cy="333704"/>
        </a:xfrm>
        <a:prstGeom prst="rect">
          <a:avLst/>
        </a:prstGeom>
      </xdr:spPr>
    </xdr:pic>
    <xdr:clientData/>
  </xdr:twoCellAnchor>
  <xdr:twoCellAnchor editAs="oneCell">
    <xdr:from>
      <xdr:col>2</xdr:col>
      <xdr:colOff>91721</xdr:colOff>
      <xdr:row>25</xdr:row>
      <xdr:rowOff>134055</xdr:rowOff>
    </xdr:from>
    <xdr:to>
      <xdr:col>2</xdr:col>
      <xdr:colOff>480574</xdr:colOff>
      <xdr:row>27</xdr:row>
      <xdr:rowOff>127000</xdr:rowOff>
    </xdr:to>
    <xdr:pic>
      <xdr:nvPicPr>
        <xdr:cNvPr id="53" name="Picture 52" descr="Rating Star with solid fill">
          <a:extLst>
            <a:ext uri="{FF2B5EF4-FFF2-40B4-BE49-F238E27FC236}">
              <a16:creationId xmlns:a16="http://schemas.microsoft.com/office/drawing/2014/main" id="{99225055-6574-DA5F-656E-F3BA5E082245}"/>
            </a:ext>
          </a:extLst>
        </xdr:cNvPr>
        <xdr:cNvPicPr>
          <a:picLocks noChangeAspect="1"/>
        </xdr:cNvPicPr>
      </xdr:nvPicPr>
      <xdr:blipFill>
        <a:blip xmlns:r="http://schemas.openxmlformats.org/officeDocument/2006/relationships" r:embed="rId9"/>
        <a:stretch>
          <a:fillRect/>
        </a:stretch>
      </xdr:blipFill>
      <xdr:spPr>
        <a:xfrm>
          <a:off x="670277" y="4536722"/>
          <a:ext cx="388853" cy="359834"/>
        </a:xfrm>
        <a:prstGeom prst="rect">
          <a:avLst/>
        </a:prstGeom>
      </xdr:spPr>
    </xdr:pic>
    <xdr:clientData/>
  </xdr:twoCellAnchor>
  <xdr:twoCellAnchor editAs="oneCell">
    <xdr:from>
      <xdr:col>14</xdr:col>
      <xdr:colOff>336148</xdr:colOff>
      <xdr:row>19</xdr:row>
      <xdr:rowOff>49895</xdr:rowOff>
    </xdr:from>
    <xdr:to>
      <xdr:col>16</xdr:col>
      <xdr:colOff>23586</xdr:colOff>
      <xdr:row>29</xdr:row>
      <xdr:rowOff>56950</xdr:rowOff>
    </xdr:to>
    <mc:AlternateContent xmlns:mc="http://schemas.openxmlformats.org/markup-compatibility/2006">
      <mc:Choice xmlns:a14="http://schemas.microsoft.com/office/drawing/2010/main" Requires="a14">
        <xdr:graphicFrame macro="">
          <xdr:nvGraphicFramePr>
            <xdr:cNvPr id="54" name="Representative 1">
              <a:extLst>
                <a:ext uri="{FF2B5EF4-FFF2-40B4-BE49-F238E27FC236}">
                  <a16:creationId xmlns:a16="http://schemas.microsoft.com/office/drawing/2014/main" id="{8861F6E4-70B4-412E-8416-F7C3F934B95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8781648" y="4145645"/>
              <a:ext cx="1274938" cy="18062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317500</xdr:colOff>
      <xdr:row>3</xdr:row>
      <xdr:rowOff>84667</xdr:rowOff>
    </xdr:from>
    <xdr:to>
      <xdr:col>11</xdr:col>
      <xdr:colOff>110419</xdr:colOff>
      <xdr:row>18</xdr:row>
      <xdr:rowOff>69850</xdr:rowOff>
    </xdr:to>
    <xdr:graphicFrame macro="">
      <xdr:nvGraphicFramePr>
        <xdr:cNvPr id="55" name="Chart 54">
          <a:extLst>
            <a:ext uri="{FF2B5EF4-FFF2-40B4-BE49-F238E27FC236}">
              <a16:creationId xmlns:a16="http://schemas.microsoft.com/office/drawing/2014/main" id="{E80F9694-55DD-4BCE-B8A4-2647010FE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98775</xdr:colOff>
      <xdr:row>3</xdr:row>
      <xdr:rowOff>84665</xdr:rowOff>
    </xdr:from>
    <xdr:to>
      <xdr:col>15</xdr:col>
      <xdr:colOff>359832</xdr:colOff>
      <xdr:row>18</xdr:row>
      <xdr:rowOff>70555</xdr:rowOff>
    </xdr:to>
    <xdr:graphicFrame macro="">
      <xdr:nvGraphicFramePr>
        <xdr:cNvPr id="56" name="Chart 55">
          <a:extLst>
            <a:ext uri="{FF2B5EF4-FFF2-40B4-BE49-F238E27FC236}">
              <a16:creationId xmlns:a16="http://schemas.microsoft.com/office/drawing/2014/main" id="{635D359B-4890-4058-B54C-72BBDF1EC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326571</xdr:colOff>
      <xdr:row>19</xdr:row>
      <xdr:rowOff>36286</xdr:rowOff>
    </xdr:from>
    <xdr:to>
      <xdr:col>9</xdr:col>
      <xdr:colOff>285750</xdr:colOff>
      <xdr:row>37</xdr:row>
      <xdr:rowOff>95250</xdr:rowOff>
    </xdr:to>
    <xdr:graphicFrame macro="">
      <xdr:nvGraphicFramePr>
        <xdr:cNvPr id="57" name="Chart 56">
          <a:extLst>
            <a:ext uri="{FF2B5EF4-FFF2-40B4-BE49-F238E27FC236}">
              <a16:creationId xmlns:a16="http://schemas.microsoft.com/office/drawing/2014/main" id="{D9BD7582-48E4-4E18-A93F-B7F8FF4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242913</xdr:colOff>
      <xdr:row>19</xdr:row>
      <xdr:rowOff>27214</xdr:rowOff>
    </xdr:from>
    <xdr:to>
      <xdr:col>14</xdr:col>
      <xdr:colOff>95250</xdr:colOff>
      <xdr:row>37</xdr:row>
      <xdr:rowOff>95249</xdr:rowOff>
    </xdr:to>
    <xdr:graphicFrame macro="">
      <xdr:nvGraphicFramePr>
        <xdr:cNvPr id="58" name="Chart 57">
          <a:extLst>
            <a:ext uri="{FF2B5EF4-FFF2-40B4-BE49-F238E27FC236}">
              <a16:creationId xmlns:a16="http://schemas.microsoft.com/office/drawing/2014/main" id="{40502F38-FFE8-4391-81BD-582CEE119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592666</xdr:colOff>
      <xdr:row>4</xdr:row>
      <xdr:rowOff>71060</xdr:rowOff>
    </xdr:from>
    <xdr:to>
      <xdr:col>22</xdr:col>
      <xdr:colOff>299357</xdr:colOff>
      <xdr:row>18</xdr:row>
      <xdr:rowOff>107345</xdr:rowOff>
    </xdr:to>
    <xdr:graphicFrame macro="">
      <xdr:nvGraphicFramePr>
        <xdr:cNvPr id="59" name="Chart 58">
          <a:extLst>
            <a:ext uri="{FF2B5EF4-FFF2-40B4-BE49-F238E27FC236}">
              <a16:creationId xmlns:a16="http://schemas.microsoft.com/office/drawing/2014/main" id="{78B9B60D-27DA-4358-B795-38A155922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243418</xdr:colOff>
      <xdr:row>19</xdr:row>
      <xdr:rowOff>52917</xdr:rowOff>
    </xdr:from>
    <xdr:to>
      <xdr:col>22</xdr:col>
      <xdr:colOff>63501</xdr:colOff>
      <xdr:row>38</xdr:row>
      <xdr:rowOff>21166</xdr:rowOff>
    </xdr:to>
    <xdr:graphicFrame macro="">
      <xdr:nvGraphicFramePr>
        <xdr:cNvPr id="60" name="Chart 59">
          <a:extLst>
            <a:ext uri="{FF2B5EF4-FFF2-40B4-BE49-F238E27FC236}">
              <a16:creationId xmlns:a16="http://schemas.microsoft.com/office/drawing/2014/main" id="{1DABC4C3-6ED9-4790-963C-E35FA3D45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571500</xdr:colOff>
      <xdr:row>4</xdr:row>
      <xdr:rowOff>85726</xdr:rowOff>
    </xdr:from>
    <xdr:to>
      <xdr:col>6</xdr:col>
      <xdr:colOff>271463</xdr:colOff>
      <xdr:row>14</xdr:row>
      <xdr:rowOff>85726</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8C9177ED-114B-7E7A-8966-F0CA0179E1A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4127500" y="815976"/>
              <a:ext cx="1287463" cy="1825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22087</xdr:colOff>
      <xdr:row>13</xdr:row>
      <xdr:rowOff>156328</xdr:rowOff>
    </xdr:from>
    <xdr:to>
      <xdr:col>1</xdr:col>
      <xdr:colOff>431737</xdr:colOff>
      <xdr:row>15</xdr:row>
      <xdr:rowOff>176695</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4696" y="3242980"/>
          <a:ext cx="409650" cy="384802"/>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73467164352" backgroundQuery="1" createdVersion="8" refreshedVersion="8" minRefreshableVersion="3" recordCount="0" supportSubquery="1" supportAdvancedDrill="1" xr:uid="{02273795-D694-406B-A9F5-9082E1BC019B}">
  <cacheSource type="external" connectionId="1"/>
  <cacheFields count="3">
    <cacheField name="[customers].[City].[City]" caption="City" numFmtId="0" hierarchy="15" level="1">
      <sharedItems count="3">
        <s v="Cincinnati"/>
        <s v="Cleveland"/>
        <s v="Columbus"/>
      </sharedItems>
    </cacheField>
    <cacheField name="[Measures].[Row_Count]" caption="Row_Count" numFmtId="0" hierarchy="17" level="32767"/>
    <cacheField name="[customers].[Gedner].[Gedner]" caption="Gedner" numFmtId="0" hierarchy="13" level="1">
      <sharedItems count="2">
        <s v="Female"/>
        <s v="Male"/>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694853472225" backgroundQuery="1" createdVersion="8" refreshedVersion="8" minRefreshableVersion="3" recordCount="0" supportSubquery="1" supportAdvancedDrill="1" xr:uid="{FC8D93A3-3F49-4F52-B091-4FC0BBFE2D62}">
  <cacheSource type="external" connectionId="1"/>
  <cacheFields count="3">
    <cacheField name="[calls].[Representative].[Representative]" caption="Representative" numFmtId="0" hierarchy="3" level="1">
      <sharedItems count="5">
        <s v="R01"/>
        <s v="R02"/>
        <s v="R03"/>
        <s v="R04"/>
        <s v="R05"/>
      </sharedItems>
    </cacheField>
    <cacheField name="[Measures].[Row_Count]" caption="Row_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636695138892" backgroundQuery="1" createdVersion="8" refreshedVersion="8" minRefreshableVersion="3" recordCount="0" supportSubquery="1" supportAdvancedDrill="1" xr:uid="{5772831E-0CD3-45E2-93E7-FBD648320E30}">
  <cacheSource type="external" connectionId="1"/>
  <cacheFields count="5">
    <cacheField name="[Measures].[Row_Count]" caption="Row_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757533796299" backgroundQuery="1" createdVersion="8" refreshedVersion="8" minRefreshableVersion="3" recordCount="0" supportSubquery="1" supportAdvancedDrill="1" xr:uid="{5955ABDA-77E8-447F-AA1D-B5EB8ECC6C7C}">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806984722221" backgroundQuery="1" createdVersion="8" refreshedVersion="8" minRefreshableVersion="3" recordCount="0" supportSubquery="1" supportAdvancedDrill="1" xr:uid="{59C7B10B-9720-4CC4-81CD-F7C2C37A5F9A}">
  <cacheSource type="external" connectionId="1"/>
  <cacheFields count="6">
    <cacheField name="[Measures].[Row_Count]" caption="Row_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806985185183" backgroundQuery="1" createdVersion="8" refreshedVersion="8" minRefreshableVersion="3" recordCount="0" supportSubquery="1" supportAdvancedDrill="1" xr:uid="{0B846DF7-E736-4BD2-B640-256A6EB2B46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Row_Count]" caption="Row_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806985648145" backgroundQuery="1" createdVersion="8" refreshedVersion="8" minRefreshableVersion="3" recordCount="0" supportSubquery="1" supportAdvancedDrill="1" xr:uid="{CEE9C3B4-8D9F-4490-B552-F4C68C69B25B}">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Row_Count]" caption="Row_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806985995368" backgroundQuery="1" createdVersion="8" refreshedVersion="8" minRefreshableVersion="3" recordCount="0" supportSubquery="1" supportAdvancedDrill="1" xr:uid="{0D9734ED-B910-4C49-A040-016572C77525}">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80698645833" backgroundQuery="1" createdVersion="8" refreshedVersion="8" minRefreshableVersion="3" recordCount="0" supportSubquery="1" supportAdvancedDrill="1" xr:uid="{E8A24D45-49BB-46B3-978D-51AAF34FC13F}">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Row_Count]" caption="Row_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basha R (DA-LON14)" refreshedDate="46152.636689699073" backgroundQuery="1" createdVersion="3" refreshedVersion="8" minRefreshableVersion="3" recordCount="0" supportSubquery="1" supportAdvancedDrill="1" xr:uid="{FDCC11D3-0704-4DE7-BA45-3B727A878506}">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_Count]" caption="Row_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94059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38B48-389E-4F84-85FD-C02426CA8D20}" name="PivotTable8" cacheId="78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68:G87"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8A27A-0A7E-4224-A1D7-72E1A2498FEF}" name="rep satisfaction" cacheId="10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9:C6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165E2-0106-4A7D-9C1D-16E12A83ECFF}" name="customer pivot" cacheId="7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1:I56"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7824A-BB1E-4589-8DA9-BD68CDAB738F}" name="selected rep" cacheId="103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2:A5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9B714F-C5E6-45D3-A42A-59B86CF9C841}" name="representative" cacheId="7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31F147-A1AE-4FC1-AA77-F3DA69E46E5D}" name="weekly trend" cacheId="10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23:G31"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6"/>
          </reference>
        </references>
      </pivotArea>
    </chartFormat>
    <chartFormat chart="19" format="4">
      <pivotArea type="data" outline="0" fieldPosition="0">
        <references count="2">
          <reference field="4294967294" count="1" selected="0">
            <x v="0"/>
          </reference>
          <reference field="0" count="1" selected="0">
            <x v="5"/>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19" format="6">
      <pivotArea type="data" outline="0" fieldPosition="0">
        <references count="2">
          <reference field="4294967294" count="1" selected="0">
            <x v="0"/>
          </reference>
          <reference field="0" count="1" selected="0">
            <x v="3"/>
          </reference>
        </references>
      </pivotArea>
    </chartFormat>
    <chartFormat chart="19" format="7">
      <pivotArea type="data" outline="0" fieldPosition="0">
        <references count="2">
          <reference field="4294967294" count="1" selected="0">
            <x v="0"/>
          </reference>
          <reference field="0" count="1" selected="0">
            <x v="2"/>
          </reference>
        </references>
      </pivotArea>
    </chartFormat>
    <chartFormat chart="19" format="8">
      <pivotArea type="data" outline="0" fieldPosition="0">
        <references count="2">
          <reference field="4294967294" count="1" selected="0">
            <x v="0"/>
          </reference>
          <reference field="0" count="1" selected="0">
            <x v="1"/>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7F84BE-E0CA-4511-A471-B69D341852D9}" name="monthly treand" cacheId="10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C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Row_Count2" fld="4" subtotal="count" baseField="0" baseItem="0">
      <extLst>
        <ext xmlns:x14="http://schemas.microsoft.com/office/spreadsheetml/2009/9/main" uri="{E15A36E0-9728-4e99-A89B-3F7291B0FE68}">
          <x14:dataField sourceField="3" uniqueName="[__Xl2].[Measures].[Row_Count]"/>
        </ext>
      </extLst>
    </dataField>
  </dataFields>
  <chartFormats count="2">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B12316-8E30-45D3-9CD6-CD44FFCDF1CA}" name="rep pivot" cacheId="10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1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C9E3F6-824E-4FD3-9BDA-E4246C26FAC2}" name="Summary pivot" cacheId="7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v>A person in a suit and tie
Description automatically generated</v>
  </rv>
  <rv s="0">
    <v>1</v>
    <v>5</v>
    <v>A person in a skirt and a cardigan
Description automatically generated</v>
  </rv>
  <rv s="0">
    <v>0</v>
    <v>5</v>
    <v>A person in a suit and tie
Description automatically generated</v>
  </rv>
  <rv s="0">
    <v>2</v>
    <v>5</v>
    <v>Business woman raising hand</v>
  </rv>
  <rv s="0">
    <v>3</v>
    <v>5</v>
    <v>Young businessman writing on notebook</v>
  </rv>
  <rv s="0">
    <v>4</v>
    <v>5</v>
    <v>Business woman shrugging</v>
  </rv>
  <rv s="0">
    <v>5</v>
    <v>5</v>
    <v>Rating Star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40D76DD-AC0F-4FDA-AAF7-52E01BED0D9F}" sourceName="[calls].[Representative]">
  <pivotTables>
    <pivotTable tabId="6" name="rep pivot"/>
    <pivotTable tabId="6" name="monthly treand"/>
    <pivotTable tabId="6" name="weekly trend"/>
    <pivotTable tabId="6" name="selected rep"/>
    <pivotTable tabId="6" name="rep satisfaction"/>
  </pivotTables>
  <data>
    <olap pivotCacheId="18994059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2636BD4-EE1B-4330-924E-9D02A8332348}" cache="Slicer_Representative" caption="Representative" level="1" style="Slicer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39B9F2E-1213-43A2-AD7C-ACB3D7085F54}" cache="Slicer_Representative" caption="Representative"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0D3B-5866-44E5-8004-F1FC94D04EFC}">
  <dimension ref="A1:AE274"/>
  <sheetViews>
    <sheetView tabSelected="1" zoomScale="60" zoomScaleNormal="60" workbookViewId="0">
      <selection activeCell="P40" sqref="P40"/>
    </sheetView>
  </sheetViews>
  <sheetFormatPr defaultRowHeight="14.5" x14ac:dyDescent="0.35"/>
  <cols>
    <col min="1" max="1" width="3.6640625" customWidth="1"/>
    <col min="2" max="2" width="3.9140625" customWidth="1"/>
    <col min="16" max="16" width="12.25" customWidth="1"/>
    <col min="24" max="24" width="12.58203125" customWidth="1"/>
    <col min="25" max="25" width="11.1640625" customWidth="1"/>
    <col min="26" max="26" width="10.58203125" customWidth="1"/>
    <col min="27" max="27" width="13.08203125" customWidth="1"/>
    <col min="28" max="28" width="11" customWidth="1"/>
    <col min="29" max="29" width="12.1640625" customWidth="1"/>
    <col min="30" max="30" width="10.1640625" customWidth="1"/>
  </cols>
  <sheetData>
    <row r="1" spans="1:31" x14ac:dyDescent="0.35">
      <c r="A1" s="27"/>
      <c r="B1" s="27"/>
      <c r="C1" s="27"/>
      <c r="D1" s="27"/>
      <c r="E1" s="27"/>
      <c r="F1" s="27"/>
      <c r="G1" s="27"/>
      <c r="H1" s="27"/>
      <c r="I1" s="27"/>
      <c r="J1" s="27"/>
      <c r="K1" s="27"/>
      <c r="L1" s="27"/>
      <c r="M1" s="27"/>
      <c r="N1" s="27"/>
      <c r="O1" s="27"/>
      <c r="P1" s="27"/>
      <c r="Q1" s="27"/>
      <c r="R1" s="27"/>
      <c r="S1" s="27"/>
      <c r="T1" s="27"/>
      <c r="U1" s="27"/>
      <c r="V1" s="27"/>
      <c r="W1" s="27"/>
      <c r="X1" s="27"/>
      <c r="Y1" s="27"/>
      <c r="Z1" s="27"/>
      <c r="AA1" s="20"/>
      <c r="AB1" s="20"/>
      <c r="AC1" s="20"/>
      <c r="AD1" s="20"/>
      <c r="AE1" s="20"/>
    </row>
    <row r="2" spans="1:31" ht="40.5" customHeight="1" x14ac:dyDescent="0.85">
      <c r="A2" s="27"/>
      <c r="B2" s="27"/>
      <c r="C2" s="27"/>
      <c r="D2" s="27"/>
      <c r="E2" s="51"/>
      <c r="F2" s="27"/>
      <c r="G2" s="27"/>
      <c r="H2" s="27"/>
      <c r="I2" s="27"/>
      <c r="J2" s="27"/>
      <c r="K2" s="27"/>
      <c r="L2" s="27"/>
      <c r="M2" s="27"/>
      <c r="N2" s="27"/>
      <c r="O2" s="52" t="s">
        <v>1085</v>
      </c>
      <c r="P2" s="27"/>
      <c r="Q2" s="27"/>
      <c r="R2" s="27"/>
      <c r="S2" s="27"/>
      <c r="T2" s="27"/>
      <c r="U2" s="27"/>
      <c r="V2" s="27"/>
      <c r="W2" s="27"/>
      <c r="X2" s="27"/>
      <c r="Y2" s="27"/>
      <c r="Z2" s="27"/>
      <c r="AA2" s="20"/>
      <c r="AB2" s="20"/>
      <c r="AC2" s="20"/>
      <c r="AD2" s="20"/>
      <c r="AE2" s="20"/>
    </row>
    <row r="3" spans="1:31" ht="40.5" customHeight="1" x14ac:dyDescent="0.85">
      <c r="A3" s="27"/>
      <c r="B3" s="27"/>
      <c r="C3" s="27"/>
      <c r="D3" s="27"/>
      <c r="E3" s="51"/>
      <c r="F3" s="27"/>
      <c r="G3" s="27"/>
      <c r="H3" s="27"/>
      <c r="I3" s="27"/>
      <c r="J3" s="27"/>
      <c r="K3" s="27"/>
      <c r="L3" s="27"/>
      <c r="M3" s="27"/>
      <c r="N3" s="27"/>
      <c r="O3" s="52"/>
      <c r="P3" s="27"/>
      <c r="Q3" s="27"/>
      <c r="R3" s="27"/>
      <c r="S3" s="27"/>
      <c r="T3" s="27"/>
      <c r="U3" s="27"/>
      <c r="V3" s="27"/>
      <c r="W3" s="27"/>
      <c r="X3" s="27"/>
      <c r="Y3" s="27"/>
      <c r="Z3" s="27"/>
      <c r="AA3" s="20"/>
      <c r="AB3" s="20"/>
      <c r="AC3" s="20"/>
      <c r="AD3" s="20"/>
      <c r="AE3" s="20"/>
    </row>
    <row r="4" spans="1:31" x14ac:dyDescent="0.35">
      <c r="A4" s="27"/>
      <c r="B4" s="27"/>
      <c r="C4" s="27"/>
      <c r="D4" s="27"/>
      <c r="E4" s="27"/>
      <c r="F4" s="27"/>
      <c r="G4" s="27"/>
      <c r="H4" s="27"/>
      <c r="I4" s="27"/>
      <c r="J4" s="27"/>
      <c r="K4" s="27"/>
      <c r="L4" s="27"/>
      <c r="M4" s="27"/>
      <c r="N4" s="27"/>
      <c r="O4" s="27"/>
      <c r="P4" s="27"/>
      <c r="Q4" s="27"/>
      <c r="R4" s="27"/>
      <c r="S4" s="27"/>
      <c r="T4" s="27"/>
      <c r="U4" s="27"/>
      <c r="V4" s="27"/>
      <c r="W4" s="27"/>
      <c r="X4" s="27"/>
      <c r="Y4" s="27"/>
      <c r="Z4" s="27"/>
      <c r="AA4" s="20"/>
      <c r="AB4" s="20"/>
      <c r="AC4" s="20"/>
      <c r="AD4" s="20"/>
      <c r="AE4" s="20"/>
    </row>
    <row r="5" spans="1:31" x14ac:dyDescent="0.35">
      <c r="A5" s="27"/>
      <c r="B5" s="27"/>
      <c r="C5" s="27"/>
      <c r="D5" s="27"/>
      <c r="E5" s="27"/>
      <c r="F5" s="27"/>
      <c r="G5" s="27"/>
      <c r="H5" s="27"/>
      <c r="I5" s="27"/>
      <c r="J5" s="27"/>
      <c r="K5" s="27"/>
      <c r="L5" s="27"/>
      <c r="M5" s="27"/>
      <c r="N5" s="27"/>
      <c r="O5" s="27"/>
      <c r="P5" s="27"/>
      <c r="Q5" s="27"/>
      <c r="R5" s="27"/>
      <c r="S5" s="27"/>
      <c r="T5" s="27"/>
      <c r="U5" s="27"/>
      <c r="V5" s="27"/>
      <c r="W5" s="27"/>
      <c r="X5" s="27"/>
      <c r="Y5" s="27"/>
      <c r="Z5" s="27"/>
      <c r="AA5" s="20"/>
      <c r="AB5" s="20"/>
      <c r="AC5" s="20"/>
      <c r="AD5" s="20"/>
      <c r="AE5" s="20"/>
    </row>
    <row r="6" spans="1:31" x14ac:dyDescent="0.35">
      <c r="A6" s="27"/>
      <c r="B6" s="27"/>
      <c r="C6" s="27"/>
      <c r="D6" s="27"/>
      <c r="E6" s="27"/>
      <c r="F6" s="27"/>
      <c r="G6" s="27"/>
      <c r="H6" s="27"/>
      <c r="I6" s="27"/>
      <c r="J6" s="27"/>
      <c r="K6" s="27"/>
      <c r="L6" s="27"/>
      <c r="M6" s="27"/>
      <c r="N6" s="27"/>
      <c r="O6" s="27"/>
      <c r="P6" s="27"/>
      <c r="Q6" s="27"/>
      <c r="R6" s="27"/>
      <c r="S6" s="27"/>
      <c r="T6" s="27"/>
      <c r="U6" s="27"/>
      <c r="V6" s="27"/>
      <c r="W6" s="27"/>
      <c r="X6" s="27"/>
      <c r="Y6" s="27"/>
      <c r="Z6" s="27"/>
      <c r="AA6" s="20"/>
      <c r="AB6" s="20"/>
      <c r="AC6" s="20"/>
      <c r="AD6" s="20"/>
      <c r="AE6" s="20"/>
    </row>
    <row r="7" spans="1:31" x14ac:dyDescent="0.35">
      <c r="A7" s="27"/>
      <c r="B7" s="27"/>
      <c r="C7" s="27"/>
      <c r="D7" s="27"/>
      <c r="E7" s="27"/>
      <c r="F7" s="27"/>
      <c r="G7" s="27"/>
      <c r="H7" s="27"/>
      <c r="I7" s="27"/>
      <c r="J7" s="27"/>
      <c r="K7" s="27"/>
      <c r="L7" s="27"/>
      <c r="M7" s="27"/>
      <c r="N7" s="27"/>
      <c r="O7" s="27"/>
      <c r="P7" s="27"/>
      <c r="Q7" s="27"/>
      <c r="R7" s="27"/>
      <c r="S7" s="27"/>
      <c r="T7" s="27"/>
      <c r="U7" s="27"/>
      <c r="V7" s="27"/>
      <c r="W7" s="27"/>
      <c r="X7" s="27"/>
      <c r="Y7" s="27"/>
      <c r="Z7" s="27"/>
      <c r="AA7" s="20"/>
      <c r="AB7" s="20"/>
      <c r="AC7" s="20"/>
      <c r="AD7" s="20"/>
      <c r="AE7" s="20"/>
    </row>
    <row r="8" spans="1:31" x14ac:dyDescent="0.35">
      <c r="A8" s="27"/>
      <c r="B8" s="27"/>
      <c r="C8" s="27"/>
      <c r="D8" s="27"/>
      <c r="E8" s="27"/>
      <c r="F8" s="27"/>
      <c r="G8" s="27"/>
      <c r="H8" s="27"/>
      <c r="I8" s="27"/>
      <c r="J8" s="27"/>
      <c r="K8" s="27"/>
      <c r="L8" s="27"/>
      <c r="M8" s="27"/>
      <c r="N8" s="27"/>
      <c r="O8" s="27"/>
      <c r="P8" s="27"/>
      <c r="Q8" s="27"/>
      <c r="R8" s="27"/>
      <c r="S8" s="27"/>
      <c r="T8" s="27"/>
      <c r="U8" s="27"/>
      <c r="V8" s="27"/>
      <c r="W8" s="27"/>
      <c r="X8" s="27"/>
      <c r="Y8" s="27"/>
      <c r="Z8" s="27"/>
      <c r="AA8" s="20"/>
      <c r="AB8" s="20"/>
      <c r="AC8" s="20"/>
      <c r="AD8" s="20"/>
      <c r="AE8" s="20"/>
    </row>
    <row r="9" spans="1:31" x14ac:dyDescent="0.35">
      <c r="A9" s="27"/>
      <c r="B9" s="27"/>
      <c r="C9" s="27"/>
      <c r="D9" s="27"/>
      <c r="E9" s="27"/>
      <c r="F9" s="27"/>
      <c r="G9" s="27"/>
      <c r="H9" s="28"/>
      <c r="I9" s="27"/>
      <c r="J9" s="27"/>
      <c r="K9" s="27"/>
      <c r="L9" s="27"/>
      <c r="M9" s="27"/>
      <c r="N9" s="27"/>
      <c r="O9" s="27"/>
      <c r="P9" s="27"/>
      <c r="Q9" s="27"/>
      <c r="R9" s="27"/>
      <c r="S9" s="27"/>
      <c r="T9" s="27"/>
      <c r="U9" s="27"/>
      <c r="V9" s="27"/>
      <c r="W9" s="27"/>
      <c r="X9" s="27"/>
      <c r="Y9" s="27"/>
      <c r="Z9" s="27"/>
      <c r="AA9" s="20"/>
      <c r="AB9" s="20"/>
      <c r="AC9" s="20"/>
      <c r="AD9" s="20"/>
      <c r="AE9" s="20"/>
    </row>
    <row r="10" spans="1:31" x14ac:dyDescent="0.3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0"/>
      <c r="AB10" s="20"/>
      <c r="AC10" s="20"/>
      <c r="AD10" s="20"/>
      <c r="AE10" s="20"/>
    </row>
    <row r="11" spans="1:31" x14ac:dyDescent="0.3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0"/>
      <c r="AB11" s="20"/>
      <c r="AC11" s="20"/>
      <c r="AD11" s="20"/>
      <c r="AE11" s="20"/>
    </row>
    <row r="12" spans="1:31" x14ac:dyDescent="0.3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0"/>
      <c r="AB12" s="20"/>
      <c r="AC12" s="20"/>
      <c r="AD12" s="20"/>
      <c r="AE12" s="20"/>
    </row>
    <row r="13" spans="1:31" x14ac:dyDescent="0.3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0"/>
      <c r="AB13" s="20"/>
      <c r="AC13" s="20"/>
      <c r="AD13" s="20"/>
      <c r="AE13" s="20"/>
    </row>
    <row r="14" spans="1:31" x14ac:dyDescent="0.3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0"/>
      <c r="AB14" s="20"/>
      <c r="AC14" s="20"/>
      <c r="AD14" s="20"/>
      <c r="AE14" s="20"/>
    </row>
    <row r="15" spans="1:31" x14ac:dyDescent="0.3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0"/>
      <c r="AB15" s="20"/>
      <c r="AC15" s="20"/>
      <c r="AD15" s="20"/>
      <c r="AE15" s="20"/>
    </row>
    <row r="16" spans="1:31" x14ac:dyDescent="0.3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0"/>
      <c r="AB16" s="20"/>
      <c r="AC16" s="20"/>
      <c r="AD16" s="20"/>
      <c r="AE16" s="20"/>
    </row>
    <row r="17" spans="1:31" x14ac:dyDescent="0.3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0"/>
      <c r="AB17" s="20"/>
      <c r="AC17" s="20"/>
      <c r="AD17" s="20"/>
      <c r="AE17" s="20"/>
    </row>
    <row r="18" spans="1:31" x14ac:dyDescent="0.3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0"/>
      <c r="AB18" s="20"/>
      <c r="AC18" s="20"/>
      <c r="AD18" s="20"/>
      <c r="AE18" s="20"/>
    </row>
    <row r="19" spans="1:31" x14ac:dyDescent="0.3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0"/>
    </row>
    <row r="20" spans="1:31" x14ac:dyDescent="0.35">
      <c r="A20" s="27"/>
      <c r="B20" s="27"/>
      <c r="C20" s="27"/>
      <c r="D20" s="27"/>
      <c r="E20" s="27"/>
      <c r="F20" s="27"/>
      <c r="G20" s="27"/>
      <c r="H20" s="27"/>
      <c r="I20" s="27"/>
      <c r="J20" s="27"/>
      <c r="K20" s="27"/>
      <c r="L20" s="27"/>
      <c r="M20" s="27"/>
      <c r="N20" s="27"/>
      <c r="O20" s="27"/>
      <c r="P20" s="27"/>
      <c r="Q20" s="27"/>
      <c r="R20" s="27"/>
      <c r="S20" s="27"/>
      <c r="T20" s="27"/>
      <c r="U20" s="27"/>
      <c r="V20" s="27"/>
      <c r="W20" s="27"/>
      <c r="X20" s="32"/>
      <c r="Y20" s="33"/>
      <c r="Z20" s="33"/>
      <c r="AA20" s="33"/>
      <c r="AB20" s="33"/>
      <c r="AC20" s="33"/>
      <c r="AD20" s="34"/>
      <c r="AE20" s="20"/>
    </row>
    <row r="21" spans="1:31" x14ac:dyDescent="0.35">
      <c r="A21" s="27"/>
      <c r="B21" s="27"/>
      <c r="C21" s="27"/>
      <c r="D21" s="27"/>
      <c r="E21" s="27"/>
      <c r="F21" s="27"/>
      <c r="G21" s="27"/>
      <c r="H21" s="27"/>
      <c r="I21" s="27"/>
      <c r="J21" s="27"/>
      <c r="K21" s="27"/>
      <c r="L21" s="27"/>
      <c r="M21" s="27"/>
      <c r="N21" s="27"/>
      <c r="O21" s="27"/>
      <c r="P21" s="27"/>
      <c r="Q21" s="27"/>
      <c r="R21" s="27"/>
      <c r="S21" s="27"/>
      <c r="T21" s="27"/>
      <c r="U21" s="27"/>
      <c r="V21" s="27"/>
      <c r="W21" s="27"/>
      <c r="X21" s="35"/>
      <c r="Y21" s="45" t="str" cm="1">
        <f t="array" ref="Y21:AC21">pivot!B69:F69</f>
        <v>R01</v>
      </c>
      <c r="Z21" s="46" t="str">
        <v>R02</v>
      </c>
      <c r="AA21" s="46" t="str">
        <v>R03</v>
      </c>
      <c r="AB21" s="46" t="str">
        <v>R04</v>
      </c>
      <c r="AC21" s="46" t="str">
        <v>R05</v>
      </c>
      <c r="AD21" s="47" t="s">
        <v>1076</v>
      </c>
      <c r="AE21" s="20"/>
    </row>
    <row r="22" spans="1:31" x14ac:dyDescent="0.35">
      <c r="A22" s="27"/>
      <c r="B22" s="27"/>
      <c r="C22" s="27"/>
      <c r="D22" s="27"/>
      <c r="E22" s="27"/>
      <c r="F22" s="27"/>
      <c r="G22" s="27"/>
      <c r="H22" s="27"/>
      <c r="I22" s="27"/>
      <c r="J22" s="27"/>
      <c r="K22" s="27"/>
      <c r="L22" s="27"/>
      <c r="M22" s="27"/>
      <c r="N22" s="27"/>
      <c r="O22" s="27"/>
      <c r="P22" s="27"/>
      <c r="Q22" s="27"/>
      <c r="R22" s="27"/>
      <c r="S22" s="27"/>
      <c r="T22" s="27"/>
      <c r="U22" s="27"/>
      <c r="V22" s="27"/>
      <c r="W22" s="27"/>
      <c r="X22" s="44" t="str" cm="1">
        <f t="array" ref="X22:AD39">IF(pivot!A70:G87="","",pivot!A70:G87)</f>
        <v>Cincinnati</v>
      </c>
      <c r="Y22" s="36" t="str">
        <v/>
      </c>
      <c r="Z22" s="36" t="str">
        <v/>
      </c>
      <c r="AA22" s="36" t="str">
        <v/>
      </c>
      <c r="AB22" s="36" t="str">
        <v/>
      </c>
      <c r="AC22" s="36" t="str">
        <v/>
      </c>
      <c r="AD22" s="37" t="str">
        <v/>
      </c>
      <c r="AE22" s="20"/>
    </row>
    <row r="23" spans="1:31" x14ac:dyDescent="0.35">
      <c r="A23" s="27"/>
      <c r="B23" s="27"/>
      <c r="C23" s="27"/>
      <c r="D23" s="27"/>
      <c r="E23" s="27"/>
      <c r="F23" s="27"/>
      <c r="G23" s="27"/>
      <c r="H23" s="27"/>
      <c r="I23" s="27"/>
      <c r="J23" s="27"/>
      <c r="K23" s="27"/>
      <c r="L23" s="27"/>
      <c r="M23" s="27"/>
      <c r="N23" s="27"/>
      <c r="O23" s="27"/>
      <c r="P23" s="27"/>
      <c r="Q23" s="27"/>
      <c r="R23" s="27"/>
      <c r="S23" s="27"/>
      <c r="T23" s="27"/>
      <c r="U23" s="27"/>
      <c r="V23" s="27"/>
      <c r="W23" s="27"/>
      <c r="X23" s="38" t="str">
        <v>C0003</v>
      </c>
      <c r="Y23" s="39">
        <v>891</v>
      </c>
      <c r="Z23" s="39">
        <v>1332</v>
      </c>
      <c r="AA23" s="39">
        <v>1282</v>
      </c>
      <c r="AB23" s="39">
        <v>739</v>
      </c>
      <c r="AC23" s="39">
        <v>560</v>
      </c>
      <c r="AD23" s="40">
        <v>4804</v>
      </c>
      <c r="AE23" s="20"/>
    </row>
    <row r="24" spans="1:31" x14ac:dyDescent="0.35">
      <c r="A24" s="27"/>
      <c r="B24" s="27"/>
      <c r="C24" s="27"/>
      <c r="D24" s="27"/>
      <c r="E24" s="27"/>
      <c r="F24" s="27"/>
      <c r="G24" s="27"/>
      <c r="H24" s="27"/>
      <c r="I24" s="27"/>
      <c r="J24" s="27"/>
      <c r="K24" s="27"/>
      <c r="L24" s="27"/>
      <c r="M24" s="27"/>
      <c r="N24" s="27"/>
      <c r="O24" s="27"/>
      <c r="P24" s="27"/>
      <c r="Q24" s="27"/>
      <c r="R24" s="27"/>
      <c r="S24" s="27"/>
      <c r="T24" s="27"/>
      <c r="U24" s="27"/>
      <c r="V24" s="27"/>
      <c r="W24" s="27"/>
      <c r="X24" s="38" t="str">
        <v>C0004</v>
      </c>
      <c r="Y24" s="39">
        <v>1991</v>
      </c>
      <c r="Z24" s="39">
        <v>1886</v>
      </c>
      <c r="AA24" s="39">
        <v>1206</v>
      </c>
      <c r="AB24" s="39">
        <v>884</v>
      </c>
      <c r="AC24" s="39">
        <v>1722</v>
      </c>
      <c r="AD24" s="40">
        <v>7689</v>
      </c>
      <c r="AE24" s="20"/>
    </row>
    <row r="25" spans="1:31" x14ac:dyDescent="0.35">
      <c r="A25" s="27"/>
      <c r="B25" s="27"/>
      <c r="C25" s="27"/>
      <c r="D25" s="27"/>
      <c r="E25" s="27"/>
      <c r="F25" s="27"/>
      <c r="G25" s="27"/>
      <c r="H25" s="27"/>
      <c r="I25" s="27"/>
      <c r="J25" s="27"/>
      <c r="K25" s="27"/>
      <c r="L25" s="27"/>
      <c r="M25" s="27"/>
      <c r="N25" s="27"/>
      <c r="O25" s="27"/>
      <c r="P25" s="27"/>
      <c r="Q25" s="27"/>
      <c r="R25" s="27"/>
      <c r="S25" s="27"/>
      <c r="T25" s="27"/>
      <c r="U25" s="27"/>
      <c r="V25" s="27"/>
      <c r="W25" s="27"/>
      <c r="X25" s="38" t="str">
        <v>C0011</v>
      </c>
      <c r="Y25" s="39">
        <v>1163</v>
      </c>
      <c r="Z25" s="39">
        <v>1180</v>
      </c>
      <c r="AA25" s="39">
        <v>1616</v>
      </c>
      <c r="AB25" s="39">
        <v>1043</v>
      </c>
      <c r="AC25" s="39">
        <v>1747</v>
      </c>
      <c r="AD25" s="40">
        <v>6749</v>
      </c>
      <c r="AE25" s="20"/>
    </row>
    <row r="26" spans="1:31" x14ac:dyDescent="0.35">
      <c r="A26" s="27"/>
      <c r="B26" s="27"/>
      <c r="C26" s="27"/>
      <c r="D26" s="27"/>
      <c r="E26" s="27"/>
      <c r="F26" s="27"/>
      <c r="G26" s="27"/>
      <c r="H26" s="27"/>
      <c r="I26" s="27"/>
      <c r="J26" s="27"/>
      <c r="K26" s="27"/>
      <c r="L26" s="27"/>
      <c r="M26" s="27"/>
      <c r="N26" s="27"/>
      <c r="O26" s="27"/>
      <c r="P26" s="27"/>
      <c r="Q26" s="27"/>
      <c r="R26" s="27"/>
      <c r="S26" s="27"/>
      <c r="T26" s="27"/>
      <c r="U26" s="27"/>
      <c r="V26" s="27"/>
      <c r="W26" s="27"/>
      <c r="X26" s="38" t="str">
        <v>C0012</v>
      </c>
      <c r="Y26" s="39">
        <v>1438</v>
      </c>
      <c r="Z26" s="39">
        <v>1616</v>
      </c>
      <c r="AA26" s="39">
        <v>866</v>
      </c>
      <c r="AB26" s="39">
        <v>829</v>
      </c>
      <c r="AC26" s="39">
        <v>2070</v>
      </c>
      <c r="AD26" s="40">
        <v>6819</v>
      </c>
      <c r="AE26" s="20"/>
    </row>
    <row r="27" spans="1:31" x14ac:dyDescent="0.35">
      <c r="A27" s="27"/>
      <c r="B27" s="27"/>
      <c r="C27" s="27"/>
      <c r="D27" s="27"/>
      <c r="E27" s="27"/>
      <c r="F27" s="27"/>
      <c r="G27" s="27"/>
      <c r="H27" s="27"/>
      <c r="I27" s="27"/>
      <c r="J27" s="27"/>
      <c r="K27" s="27"/>
      <c r="L27" s="27"/>
      <c r="M27" s="27"/>
      <c r="N27" s="27"/>
      <c r="O27" s="27"/>
      <c r="P27" s="27"/>
      <c r="Q27" s="27"/>
      <c r="R27" s="27"/>
      <c r="S27" s="27"/>
      <c r="T27" s="27"/>
      <c r="U27" s="27"/>
      <c r="V27" s="27"/>
      <c r="W27" s="27"/>
      <c r="X27" s="44" t="str">
        <v>Cleveland</v>
      </c>
      <c r="Y27" s="39" t="str">
        <v/>
      </c>
      <c r="Z27" s="39" t="str">
        <v/>
      </c>
      <c r="AA27" s="39" t="str">
        <v/>
      </c>
      <c r="AB27" s="39" t="str">
        <v/>
      </c>
      <c r="AC27" s="39" t="str">
        <v/>
      </c>
      <c r="AD27" s="40" t="str">
        <v/>
      </c>
      <c r="AE27" s="20"/>
    </row>
    <row r="28" spans="1:31" x14ac:dyDescent="0.35">
      <c r="A28" s="27"/>
      <c r="B28" s="27"/>
      <c r="C28" s="27"/>
      <c r="D28" s="27"/>
      <c r="E28" s="27"/>
      <c r="F28" s="27"/>
      <c r="G28" s="27"/>
      <c r="H28" s="27"/>
      <c r="I28" s="27"/>
      <c r="J28" s="27"/>
      <c r="K28" s="27"/>
      <c r="L28" s="27"/>
      <c r="M28" s="27"/>
      <c r="N28" s="27"/>
      <c r="O28" s="27"/>
      <c r="P28" s="27"/>
      <c r="Q28" s="27"/>
      <c r="R28" s="27"/>
      <c r="S28" s="27"/>
      <c r="T28" s="27"/>
      <c r="U28" s="27"/>
      <c r="V28" s="27"/>
      <c r="W28" s="27"/>
      <c r="X28" s="38" t="str">
        <v>C0002</v>
      </c>
      <c r="Y28" s="39">
        <v>1233</v>
      </c>
      <c r="Z28" s="39">
        <v>223</v>
      </c>
      <c r="AA28" s="39">
        <v>1680</v>
      </c>
      <c r="AB28" s="39">
        <v>990</v>
      </c>
      <c r="AC28" s="39">
        <v>1508</v>
      </c>
      <c r="AD28" s="40">
        <v>5634</v>
      </c>
      <c r="AE28" s="20"/>
    </row>
    <row r="29" spans="1:31" x14ac:dyDescent="0.35">
      <c r="A29" s="27"/>
      <c r="B29" s="27"/>
      <c r="C29" s="27"/>
      <c r="D29" s="27"/>
      <c r="E29" s="27"/>
      <c r="F29" s="27"/>
      <c r="G29" s="27"/>
      <c r="H29" s="27"/>
      <c r="I29" s="27"/>
      <c r="J29" s="27"/>
      <c r="K29" s="27"/>
      <c r="L29" s="27"/>
      <c r="M29" s="27"/>
      <c r="N29" s="27"/>
      <c r="O29" s="27"/>
      <c r="P29" s="27"/>
      <c r="Q29" s="27"/>
      <c r="R29" s="27"/>
      <c r="S29" s="27"/>
      <c r="T29" s="27"/>
      <c r="U29" s="27"/>
      <c r="V29" s="27"/>
      <c r="W29" s="27"/>
      <c r="X29" s="38" t="str">
        <v>C0007</v>
      </c>
      <c r="Y29" s="39">
        <v>1598</v>
      </c>
      <c r="Z29" s="39">
        <v>1907</v>
      </c>
      <c r="AA29" s="39">
        <v>869</v>
      </c>
      <c r="AB29" s="39">
        <v>1426</v>
      </c>
      <c r="AC29" s="39">
        <v>1416</v>
      </c>
      <c r="AD29" s="40">
        <v>7216</v>
      </c>
      <c r="AE29" s="20"/>
    </row>
    <row r="30" spans="1:31" x14ac:dyDescent="0.35">
      <c r="A30" s="27"/>
      <c r="B30" s="27"/>
      <c r="C30" s="27"/>
      <c r="D30" s="27"/>
      <c r="E30" s="27"/>
      <c r="F30" s="27"/>
      <c r="G30" s="27"/>
      <c r="H30" s="27"/>
      <c r="I30" s="27"/>
      <c r="J30" s="27"/>
      <c r="K30" s="27"/>
      <c r="L30" s="27"/>
      <c r="M30" s="27"/>
      <c r="N30" s="27"/>
      <c r="O30" s="50"/>
      <c r="P30" s="50"/>
      <c r="Q30" s="50"/>
      <c r="R30" s="27"/>
      <c r="S30" s="27"/>
      <c r="T30" s="27"/>
      <c r="U30" s="27"/>
      <c r="V30" s="27"/>
      <c r="W30" s="27"/>
      <c r="X30" s="38" t="str">
        <v>C0008</v>
      </c>
      <c r="Y30" s="39">
        <v>900</v>
      </c>
      <c r="Z30" s="39">
        <v>1016</v>
      </c>
      <c r="AA30" s="39">
        <v>960</v>
      </c>
      <c r="AB30" s="39">
        <v>940</v>
      </c>
      <c r="AC30" s="39">
        <v>1193</v>
      </c>
      <c r="AD30" s="40">
        <v>5009</v>
      </c>
      <c r="AE30" s="20"/>
    </row>
    <row r="31" spans="1:31" x14ac:dyDescent="0.35">
      <c r="A31" s="27"/>
      <c r="B31" s="27"/>
      <c r="C31" s="27"/>
      <c r="D31" s="27"/>
      <c r="E31" s="27"/>
      <c r="F31" s="27"/>
      <c r="G31" s="27"/>
      <c r="H31" s="27"/>
      <c r="I31" s="27"/>
      <c r="J31" s="27"/>
      <c r="K31" s="27"/>
      <c r="L31" s="27"/>
      <c r="M31" s="27"/>
      <c r="N31" s="27"/>
      <c r="O31" s="49" t="e" vm="1">
        <f>pivot!$I$19</f>
        <v>#VALUE!</v>
      </c>
      <c r="P31" s="49"/>
      <c r="Q31" s="49"/>
      <c r="R31" s="27"/>
      <c r="S31" s="27"/>
      <c r="T31" s="27"/>
      <c r="U31" s="27"/>
      <c r="V31" s="27"/>
      <c r="W31" s="27"/>
      <c r="X31" s="38" t="str">
        <v>C0010</v>
      </c>
      <c r="Y31" s="39">
        <v>900</v>
      </c>
      <c r="Z31" s="39">
        <v>1470</v>
      </c>
      <c r="AA31" s="39">
        <v>1617</v>
      </c>
      <c r="AB31" s="39">
        <v>1314</v>
      </c>
      <c r="AC31" s="39">
        <v>941</v>
      </c>
      <c r="AD31" s="40">
        <v>6242</v>
      </c>
      <c r="AE31" s="20"/>
    </row>
    <row r="32" spans="1:31" x14ac:dyDescent="0.35">
      <c r="A32" s="27"/>
      <c r="B32" s="27"/>
      <c r="C32" s="27"/>
      <c r="D32" s="27"/>
      <c r="E32" s="27"/>
      <c r="F32" s="27"/>
      <c r="G32" s="27"/>
      <c r="H32" s="27"/>
      <c r="I32" s="27"/>
      <c r="J32" s="27"/>
      <c r="K32" s="27"/>
      <c r="L32" s="27"/>
      <c r="M32" s="27"/>
      <c r="N32" s="27"/>
      <c r="O32" s="49"/>
      <c r="P32" s="49"/>
      <c r="Q32" s="49"/>
      <c r="R32" s="27"/>
      <c r="S32" s="27"/>
      <c r="T32" s="27"/>
      <c r="U32" s="27"/>
      <c r="V32" s="27"/>
      <c r="W32" s="27"/>
      <c r="X32" s="38" t="str">
        <v>C0013</v>
      </c>
      <c r="Y32" s="39">
        <v>1255</v>
      </c>
      <c r="Z32" s="39">
        <v>516</v>
      </c>
      <c r="AA32" s="39">
        <v>1874</v>
      </c>
      <c r="AB32" s="39">
        <v>1863</v>
      </c>
      <c r="AC32" s="39">
        <v>1722</v>
      </c>
      <c r="AD32" s="40">
        <v>7230</v>
      </c>
      <c r="AE32" s="20"/>
    </row>
    <row r="33" spans="1:31" ht="15.5" customHeight="1" x14ac:dyDescent="0.35">
      <c r="A33" s="27"/>
      <c r="B33" s="27"/>
      <c r="C33" s="27"/>
      <c r="D33" s="27"/>
      <c r="E33" s="27"/>
      <c r="F33" s="27"/>
      <c r="G33" s="27"/>
      <c r="H33" s="27"/>
      <c r="I33" s="27"/>
      <c r="J33" s="27"/>
      <c r="K33" s="27"/>
      <c r="L33" s="27"/>
      <c r="M33" s="27"/>
      <c r="N33" s="27"/>
      <c r="O33" s="49"/>
      <c r="P33" s="49"/>
      <c r="Q33" s="49"/>
      <c r="R33" s="27"/>
      <c r="S33" s="27"/>
      <c r="T33" s="27"/>
      <c r="U33" s="27"/>
      <c r="V33" s="27"/>
      <c r="W33" s="27"/>
      <c r="X33" s="38" t="str">
        <v>C0015</v>
      </c>
      <c r="Y33" s="39">
        <v>1138</v>
      </c>
      <c r="Z33" s="39">
        <v>1898</v>
      </c>
      <c r="AA33" s="39">
        <v>1482</v>
      </c>
      <c r="AB33" s="39">
        <v>846</v>
      </c>
      <c r="AC33" s="39">
        <v>1154</v>
      </c>
      <c r="AD33" s="40">
        <v>6518</v>
      </c>
      <c r="AE33" s="20"/>
    </row>
    <row r="34" spans="1:31" x14ac:dyDescent="0.35">
      <c r="A34" s="27"/>
      <c r="B34" s="27"/>
      <c r="C34" s="27"/>
      <c r="D34" s="27"/>
      <c r="E34" s="27"/>
      <c r="F34" s="27"/>
      <c r="G34" s="27"/>
      <c r="H34" s="27"/>
      <c r="I34" s="27"/>
      <c r="J34" s="27"/>
      <c r="K34" s="27"/>
      <c r="L34" s="27"/>
      <c r="M34" s="27"/>
      <c r="N34" s="27"/>
      <c r="O34" s="49"/>
      <c r="P34" s="49"/>
      <c r="Q34" s="49"/>
      <c r="R34" s="27"/>
      <c r="S34" s="27"/>
      <c r="T34" s="27"/>
      <c r="U34" s="27"/>
      <c r="V34" s="27"/>
      <c r="W34" s="27"/>
      <c r="X34" s="44" t="str">
        <v>Columbus</v>
      </c>
      <c r="Y34" s="39" t="str">
        <v/>
      </c>
      <c r="Z34" s="39" t="str">
        <v/>
      </c>
      <c r="AA34" s="39" t="str">
        <v/>
      </c>
      <c r="AB34" s="39" t="str">
        <v/>
      </c>
      <c r="AC34" s="39" t="str">
        <v/>
      </c>
      <c r="AD34" s="40" t="str">
        <v/>
      </c>
      <c r="AE34" s="20"/>
    </row>
    <row r="35" spans="1:31" ht="23" customHeight="1" x14ac:dyDescent="0.35">
      <c r="A35" s="27"/>
      <c r="B35" s="27"/>
      <c r="C35" s="27"/>
      <c r="D35" s="27"/>
      <c r="E35" s="27"/>
      <c r="F35" s="27"/>
      <c r="G35" s="27"/>
      <c r="H35" s="27"/>
      <c r="I35" s="27"/>
      <c r="J35" s="27"/>
      <c r="K35" s="27"/>
      <c r="L35" s="27"/>
      <c r="M35" s="27"/>
      <c r="N35" s="27"/>
      <c r="O35" s="31"/>
      <c r="P35" s="53" t="str">
        <f>pivot!$I$15</f>
        <v>Call%:22%</v>
      </c>
      <c r="Q35" s="31"/>
      <c r="R35" s="27"/>
      <c r="S35" s="27"/>
      <c r="T35" s="27"/>
      <c r="U35" s="27"/>
      <c r="V35" s="27"/>
      <c r="W35" s="27"/>
      <c r="X35" s="38" t="str">
        <v>C0001</v>
      </c>
      <c r="Y35" s="39">
        <v>1655</v>
      </c>
      <c r="Z35" s="39">
        <v>805</v>
      </c>
      <c r="AA35" s="39">
        <v>2263</v>
      </c>
      <c r="AB35" s="39">
        <v>987</v>
      </c>
      <c r="AC35" s="39">
        <v>1075</v>
      </c>
      <c r="AD35" s="40">
        <v>6785</v>
      </c>
      <c r="AE35" s="20"/>
    </row>
    <row r="36" spans="1:31" x14ac:dyDescent="0.35">
      <c r="A36" s="27"/>
      <c r="B36" s="27"/>
      <c r="C36" s="27"/>
      <c r="D36" s="27"/>
      <c r="E36" s="27"/>
      <c r="F36" s="27"/>
      <c r="G36" s="27"/>
      <c r="H36" s="27"/>
      <c r="I36" s="27"/>
      <c r="J36" s="27"/>
      <c r="K36" s="27"/>
      <c r="L36" s="27"/>
      <c r="M36" s="27"/>
      <c r="N36" s="27"/>
      <c r="O36" s="27"/>
      <c r="P36" s="54" t="str">
        <f>pivot!$I$16</f>
        <v>Call rank:1</v>
      </c>
      <c r="Q36" s="27"/>
      <c r="R36" s="27"/>
      <c r="S36" s="27"/>
      <c r="T36" s="27"/>
      <c r="U36" s="27"/>
      <c r="V36" s="27"/>
      <c r="W36" s="27"/>
      <c r="X36" s="38" t="str">
        <v>C0005</v>
      </c>
      <c r="Y36" s="39">
        <v>1104</v>
      </c>
      <c r="Z36" s="39">
        <v>2280</v>
      </c>
      <c r="AA36" s="39">
        <v>1445</v>
      </c>
      <c r="AB36" s="39">
        <v>1722</v>
      </c>
      <c r="AC36" s="39">
        <v>1196</v>
      </c>
      <c r="AD36" s="40">
        <v>7747</v>
      </c>
      <c r="AE36" s="20"/>
    </row>
    <row r="37" spans="1:31" x14ac:dyDescent="0.35">
      <c r="A37" s="27"/>
      <c r="B37" s="27"/>
      <c r="C37" s="27"/>
      <c r="D37" s="27"/>
      <c r="E37" s="27"/>
      <c r="F37" s="27"/>
      <c r="G37" s="27"/>
      <c r="H37" s="27"/>
      <c r="I37" s="27"/>
      <c r="J37" s="27"/>
      <c r="K37" s="27"/>
      <c r="L37" s="27"/>
      <c r="M37" s="27"/>
      <c r="N37" s="27"/>
      <c r="O37" s="27"/>
      <c r="P37" s="55" t="str">
        <f>pivot!$I$17</f>
        <v>Amount rank:2</v>
      </c>
      <c r="Q37" s="27"/>
      <c r="R37" s="27"/>
      <c r="S37" s="27"/>
      <c r="T37" s="27"/>
      <c r="U37" s="27"/>
      <c r="V37" s="27"/>
      <c r="W37" s="27"/>
      <c r="X37" s="38" t="str">
        <v>C0006</v>
      </c>
      <c r="Y37" s="39">
        <v>372</v>
      </c>
      <c r="Z37" s="39">
        <v>1818</v>
      </c>
      <c r="AA37" s="39">
        <v>1346</v>
      </c>
      <c r="AB37" s="39">
        <v>1156</v>
      </c>
      <c r="AC37" s="39">
        <v>1484</v>
      </c>
      <c r="AD37" s="40">
        <v>6176</v>
      </c>
      <c r="AE37" s="20"/>
    </row>
    <row r="38" spans="1:31" x14ac:dyDescent="0.35">
      <c r="A38" s="27"/>
      <c r="B38" s="27"/>
      <c r="C38" s="27"/>
      <c r="D38" s="27"/>
      <c r="E38" s="27"/>
      <c r="F38" s="27"/>
      <c r="G38" s="27"/>
      <c r="H38" s="27"/>
      <c r="I38" s="27"/>
      <c r="J38" s="27"/>
      <c r="K38" s="27"/>
      <c r="L38" s="27"/>
      <c r="M38" s="27"/>
      <c r="N38" s="27"/>
      <c r="O38" s="27"/>
      <c r="P38" s="27"/>
      <c r="Q38" s="27"/>
      <c r="R38" s="27"/>
      <c r="S38" s="27"/>
      <c r="T38" s="27"/>
      <c r="U38" s="27"/>
      <c r="V38" s="27"/>
      <c r="W38" s="27"/>
      <c r="X38" s="38" t="str">
        <v>C0009</v>
      </c>
      <c r="Y38" s="39">
        <v>1415</v>
      </c>
      <c r="Z38" s="39">
        <v>1271</v>
      </c>
      <c r="AA38" s="39">
        <v>1214</v>
      </c>
      <c r="AB38" s="39">
        <v>1135</v>
      </c>
      <c r="AC38" s="39">
        <v>1566</v>
      </c>
      <c r="AD38" s="40">
        <v>6601</v>
      </c>
      <c r="AE38" s="20"/>
    </row>
    <row r="39" spans="1:31" x14ac:dyDescent="0.35">
      <c r="A39" s="27"/>
      <c r="B39" s="27"/>
      <c r="C39" s="27"/>
      <c r="D39" s="27"/>
      <c r="E39" s="27"/>
      <c r="F39" s="27"/>
      <c r="G39" s="27"/>
      <c r="H39" s="27"/>
      <c r="I39" s="27"/>
      <c r="J39" s="27"/>
      <c r="K39" s="27"/>
      <c r="L39" s="27"/>
      <c r="M39" s="27"/>
      <c r="N39" s="27"/>
      <c r="O39" s="27"/>
      <c r="P39" s="27"/>
      <c r="Q39" s="27"/>
      <c r="R39" s="27"/>
      <c r="S39" s="27"/>
      <c r="T39" s="27"/>
      <c r="U39" s="27"/>
      <c r="V39" s="27"/>
      <c r="W39" s="27"/>
      <c r="X39" s="41" t="str">
        <v>C0014</v>
      </c>
      <c r="Y39" s="42">
        <v>1362</v>
      </c>
      <c r="Z39" s="42">
        <v>1363</v>
      </c>
      <c r="AA39" s="42">
        <v>1152</v>
      </c>
      <c r="AB39" s="42">
        <v>777</v>
      </c>
      <c r="AC39" s="42">
        <v>750</v>
      </c>
      <c r="AD39" s="43">
        <v>5404</v>
      </c>
      <c r="AE39" s="20"/>
    </row>
    <row r="40" spans="1:31" x14ac:dyDescent="0.3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0"/>
      <c r="AB40" s="20"/>
      <c r="AC40" s="20"/>
      <c r="AD40" s="20"/>
      <c r="AE40" s="20"/>
    </row>
    <row r="41" spans="1:31" x14ac:dyDescent="0.3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0"/>
      <c r="AB41" s="20"/>
      <c r="AC41" s="20"/>
      <c r="AD41" s="20"/>
      <c r="AE41" s="20"/>
    </row>
    <row r="42" spans="1:31" x14ac:dyDescent="0.3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0"/>
      <c r="AB42" s="20"/>
      <c r="AC42" s="20"/>
      <c r="AD42" s="20"/>
      <c r="AE42" s="20"/>
    </row>
    <row r="43" spans="1:31" x14ac:dyDescent="0.3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0"/>
      <c r="AB43" s="20"/>
      <c r="AC43" s="20"/>
      <c r="AD43" s="20"/>
      <c r="AE43" s="20"/>
    </row>
    <row r="44" spans="1:31" x14ac:dyDescent="0.3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0"/>
      <c r="AB44" s="20"/>
      <c r="AC44" s="20"/>
      <c r="AD44" s="20"/>
      <c r="AE44" s="20"/>
    </row>
    <row r="45" spans="1:31" x14ac:dyDescent="0.3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0"/>
      <c r="AB45" s="20"/>
      <c r="AC45" s="20"/>
      <c r="AD45" s="20"/>
      <c r="AE45" s="20"/>
    </row>
    <row r="46" spans="1:31" x14ac:dyDescent="0.3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0"/>
      <c r="AB46" s="20"/>
      <c r="AC46" s="20"/>
      <c r="AD46" s="20"/>
      <c r="AE46" s="20"/>
    </row>
    <row r="47" spans="1:31" x14ac:dyDescent="0.3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0"/>
      <c r="AB47" s="20"/>
      <c r="AC47" s="20"/>
      <c r="AD47" s="20"/>
      <c r="AE47" s="20"/>
    </row>
    <row r="48" spans="1:31" x14ac:dyDescent="0.3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0"/>
      <c r="AB48" s="20"/>
      <c r="AC48" s="20"/>
      <c r="AD48" s="20"/>
      <c r="AE48" s="20"/>
    </row>
    <row r="49" spans="1:31" x14ac:dyDescent="0.3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0"/>
      <c r="AB49" s="20"/>
      <c r="AC49" s="20"/>
      <c r="AD49" s="20"/>
      <c r="AE49" s="20"/>
    </row>
    <row r="50" spans="1:31" x14ac:dyDescent="0.3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0"/>
      <c r="AB50" s="20"/>
      <c r="AC50" s="20"/>
      <c r="AD50" s="20"/>
      <c r="AE50" s="20"/>
    </row>
    <row r="51" spans="1:31" x14ac:dyDescent="0.3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0"/>
      <c r="AB51" s="20"/>
      <c r="AC51" s="20"/>
      <c r="AD51" s="20"/>
      <c r="AE51" s="20"/>
    </row>
    <row r="52" spans="1:31" x14ac:dyDescent="0.3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0"/>
      <c r="AB52" s="20"/>
      <c r="AC52" s="20"/>
      <c r="AD52" s="20"/>
      <c r="AE52" s="20"/>
    </row>
    <row r="53" spans="1:31" x14ac:dyDescent="0.3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0"/>
      <c r="AB53" s="20"/>
      <c r="AC53" s="20"/>
      <c r="AD53" s="20"/>
      <c r="AE53" s="20"/>
    </row>
    <row r="54" spans="1:31" x14ac:dyDescent="0.3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0"/>
      <c r="AB54" s="20"/>
      <c r="AC54" s="20"/>
      <c r="AD54" s="20"/>
      <c r="AE54" s="20"/>
    </row>
    <row r="55" spans="1:31" x14ac:dyDescent="0.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0"/>
      <c r="AB55" s="20"/>
      <c r="AC55" s="20"/>
      <c r="AD55" s="20"/>
      <c r="AE55" s="20"/>
    </row>
    <row r="56" spans="1:31" x14ac:dyDescent="0.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0"/>
      <c r="AB56" s="20"/>
      <c r="AC56" s="20"/>
      <c r="AD56" s="20"/>
      <c r="AE56" s="20"/>
    </row>
    <row r="57" spans="1:31" x14ac:dyDescent="0.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0"/>
      <c r="AB57" s="20"/>
      <c r="AC57" s="20"/>
      <c r="AD57" s="20"/>
      <c r="AE57" s="20"/>
    </row>
    <row r="58" spans="1:31" x14ac:dyDescent="0.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0"/>
      <c r="AB58" s="20"/>
      <c r="AC58" s="20"/>
      <c r="AD58" s="20"/>
      <c r="AE58" s="20"/>
    </row>
    <row r="59" spans="1:31" x14ac:dyDescent="0.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0"/>
      <c r="AB59" s="20"/>
      <c r="AC59" s="20"/>
      <c r="AD59" s="20"/>
      <c r="AE59" s="20"/>
    </row>
    <row r="60" spans="1:31" x14ac:dyDescent="0.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0"/>
      <c r="AB60" s="20"/>
      <c r="AC60" s="20"/>
      <c r="AD60" s="20"/>
      <c r="AE60" s="20"/>
    </row>
    <row r="61" spans="1:31" x14ac:dyDescent="0.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0"/>
      <c r="AB61" s="20"/>
      <c r="AC61" s="20"/>
      <c r="AD61" s="20"/>
      <c r="AE61" s="20"/>
    </row>
    <row r="62" spans="1:31" x14ac:dyDescent="0.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0"/>
      <c r="AB62" s="20"/>
      <c r="AC62" s="20"/>
      <c r="AD62" s="20"/>
      <c r="AE62" s="20"/>
    </row>
    <row r="63" spans="1:31" x14ac:dyDescent="0.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0"/>
      <c r="AB63" s="20"/>
      <c r="AC63" s="20"/>
      <c r="AD63" s="20"/>
      <c r="AE63" s="20"/>
    </row>
    <row r="64" spans="1:31" x14ac:dyDescent="0.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0"/>
      <c r="AB64" s="20"/>
      <c r="AC64" s="20"/>
      <c r="AD64" s="20"/>
      <c r="AE64" s="20"/>
    </row>
    <row r="65" spans="1:31" x14ac:dyDescent="0.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0"/>
      <c r="AB65" s="20"/>
      <c r="AC65" s="20"/>
      <c r="AD65" s="20"/>
      <c r="AE65" s="20"/>
    </row>
    <row r="66" spans="1:31" x14ac:dyDescent="0.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0"/>
      <c r="AB66" s="20"/>
      <c r="AC66" s="20"/>
      <c r="AD66" s="20"/>
      <c r="AE66" s="20"/>
    </row>
    <row r="67" spans="1:31"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0"/>
      <c r="AB67" s="20"/>
      <c r="AC67" s="20"/>
      <c r="AD67" s="20"/>
      <c r="AE67" s="20"/>
    </row>
    <row r="68" spans="1:31"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0"/>
      <c r="AB68" s="20"/>
      <c r="AC68" s="20"/>
      <c r="AD68" s="20"/>
      <c r="AE68" s="20"/>
    </row>
    <row r="69" spans="1:31"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0"/>
      <c r="AB69" s="20"/>
      <c r="AC69" s="20"/>
      <c r="AD69" s="20"/>
      <c r="AE69" s="20"/>
    </row>
    <row r="70" spans="1:31"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0"/>
      <c r="AB70" s="20"/>
      <c r="AC70" s="20"/>
      <c r="AD70" s="20"/>
      <c r="AE70" s="20"/>
    </row>
    <row r="71" spans="1:31"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0"/>
      <c r="AB71" s="20"/>
      <c r="AC71" s="20"/>
      <c r="AD71" s="20"/>
      <c r="AE71" s="20"/>
    </row>
    <row r="72" spans="1:31"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0"/>
      <c r="AB72" s="20"/>
      <c r="AC72" s="20"/>
      <c r="AD72" s="20"/>
      <c r="AE72" s="20"/>
    </row>
    <row r="73" spans="1:31"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0"/>
      <c r="AB73" s="20"/>
      <c r="AC73" s="20"/>
      <c r="AD73" s="20"/>
      <c r="AE73" s="20"/>
    </row>
    <row r="74" spans="1:3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0"/>
      <c r="AB74" s="20"/>
      <c r="AC74" s="20"/>
      <c r="AD74" s="20"/>
      <c r="AE74" s="20"/>
    </row>
    <row r="75" spans="1:3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0"/>
      <c r="AB75" s="20"/>
      <c r="AC75" s="20"/>
      <c r="AD75" s="20"/>
      <c r="AE75" s="20"/>
    </row>
    <row r="76" spans="1:3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0"/>
      <c r="AB76" s="20"/>
      <c r="AC76" s="20"/>
      <c r="AD76" s="20"/>
      <c r="AE76" s="20"/>
    </row>
    <row r="77" spans="1:3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0"/>
      <c r="AB77" s="20"/>
      <c r="AC77" s="20"/>
      <c r="AD77" s="20"/>
      <c r="AE77" s="20"/>
    </row>
    <row r="78" spans="1:3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0"/>
      <c r="AB78" s="20"/>
      <c r="AC78" s="20"/>
      <c r="AD78" s="20"/>
      <c r="AE78" s="20"/>
    </row>
    <row r="79" spans="1:3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0"/>
      <c r="AB79" s="20"/>
      <c r="AC79" s="20"/>
      <c r="AD79" s="20"/>
      <c r="AE79" s="20"/>
    </row>
    <row r="80" spans="1:3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0"/>
      <c r="AB80" s="20"/>
      <c r="AC80" s="20"/>
      <c r="AD80" s="20"/>
      <c r="AE80" s="20"/>
    </row>
    <row r="81" spans="1:3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0"/>
      <c r="AB81" s="20"/>
      <c r="AC81" s="20"/>
      <c r="AD81" s="20"/>
      <c r="AE81" s="20"/>
    </row>
    <row r="82" spans="1:3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0"/>
      <c r="AB82" s="20"/>
      <c r="AC82" s="20"/>
      <c r="AD82" s="20"/>
      <c r="AE82" s="20"/>
    </row>
    <row r="83" spans="1:3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0"/>
      <c r="AB83" s="20"/>
      <c r="AC83" s="20"/>
      <c r="AD83" s="20"/>
      <c r="AE83" s="20"/>
    </row>
    <row r="84" spans="1:3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0"/>
      <c r="AB84" s="20"/>
      <c r="AC84" s="20"/>
      <c r="AD84" s="20"/>
      <c r="AE84" s="20"/>
    </row>
    <row r="85" spans="1:3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0"/>
      <c r="AB85" s="20"/>
      <c r="AC85" s="20"/>
      <c r="AD85" s="20"/>
      <c r="AE85" s="20"/>
    </row>
    <row r="86" spans="1:3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0"/>
      <c r="AB86" s="20"/>
      <c r="AC86" s="20"/>
      <c r="AD86" s="20"/>
      <c r="AE86" s="20"/>
    </row>
    <row r="87" spans="1:3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0"/>
      <c r="AB87" s="20"/>
      <c r="AC87" s="20"/>
      <c r="AD87" s="20"/>
      <c r="AE87" s="20"/>
    </row>
    <row r="88" spans="1:3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0"/>
      <c r="AB88" s="20"/>
      <c r="AC88" s="20"/>
      <c r="AD88" s="20"/>
      <c r="AE88" s="20"/>
    </row>
    <row r="89" spans="1:3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0"/>
      <c r="AB89" s="20"/>
      <c r="AC89" s="20"/>
      <c r="AD89" s="20"/>
      <c r="AE89" s="20"/>
    </row>
    <row r="90" spans="1:3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0"/>
      <c r="AB90" s="20"/>
      <c r="AC90" s="20"/>
      <c r="AD90" s="20"/>
      <c r="AE90" s="20"/>
    </row>
    <row r="91" spans="1:3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0"/>
      <c r="AB91" s="20"/>
      <c r="AC91" s="20"/>
      <c r="AD91" s="20"/>
      <c r="AE91" s="20"/>
    </row>
    <row r="92" spans="1:3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0"/>
      <c r="AB92" s="20"/>
      <c r="AC92" s="20"/>
      <c r="AD92" s="20"/>
      <c r="AE92" s="20"/>
    </row>
    <row r="93" spans="1:3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0"/>
      <c r="AB93" s="20"/>
      <c r="AC93" s="20"/>
      <c r="AD93" s="20"/>
      <c r="AE93" s="20"/>
    </row>
    <row r="94" spans="1:3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0"/>
      <c r="AB94" s="20"/>
      <c r="AC94" s="20"/>
      <c r="AD94" s="20"/>
      <c r="AE94" s="20"/>
    </row>
    <row r="95" spans="1:3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0"/>
      <c r="AB95" s="20"/>
      <c r="AC95" s="20"/>
      <c r="AD95" s="20"/>
      <c r="AE95" s="20"/>
    </row>
    <row r="96" spans="1:3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0"/>
      <c r="AB96" s="20"/>
      <c r="AC96" s="20"/>
      <c r="AD96" s="20"/>
      <c r="AE96" s="20"/>
    </row>
    <row r="97" spans="1:3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0"/>
      <c r="AB97" s="20"/>
      <c r="AC97" s="20"/>
      <c r="AD97" s="20"/>
      <c r="AE97" s="20"/>
    </row>
    <row r="98" spans="1:3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0"/>
      <c r="AB98" s="20"/>
      <c r="AC98" s="20"/>
      <c r="AD98" s="20"/>
      <c r="AE98" s="20"/>
    </row>
    <row r="99" spans="1:3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0"/>
      <c r="AB99" s="20"/>
      <c r="AC99" s="20"/>
      <c r="AD99" s="20"/>
      <c r="AE99" s="20"/>
    </row>
    <row r="100" spans="1:3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0"/>
      <c r="AB100" s="20"/>
      <c r="AC100" s="20"/>
      <c r="AD100" s="20"/>
      <c r="AE100" s="20"/>
    </row>
    <row r="101" spans="1:3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0"/>
      <c r="AB101" s="20"/>
      <c r="AC101" s="20"/>
      <c r="AD101" s="20"/>
      <c r="AE101" s="20"/>
    </row>
    <row r="102" spans="1:3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0"/>
      <c r="AB102" s="20"/>
      <c r="AC102" s="20"/>
      <c r="AD102" s="20"/>
      <c r="AE102" s="20"/>
    </row>
    <row r="103" spans="1:3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0"/>
      <c r="AB103" s="20"/>
      <c r="AC103" s="20"/>
      <c r="AD103" s="20"/>
      <c r="AE103" s="20"/>
    </row>
    <row r="104" spans="1:3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0"/>
      <c r="AB104" s="20"/>
      <c r="AC104" s="20"/>
      <c r="AD104" s="20"/>
      <c r="AE104" s="20"/>
    </row>
    <row r="105" spans="1:3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0"/>
      <c r="AB105" s="20"/>
      <c r="AC105" s="20"/>
      <c r="AD105" s="20"/>
      <c r="AE105" s="20"/>
    </row>
    <row r="106" spans="1:3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0"/>
      <c r="AB106" s="20"/>
      <c r="AC106" s="20"/>
      <c r="AD106" s="20"/>
      <c r="AE106" s="20"/>
    </row>
    <row r="107" spans="1:3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0"/>
      <c r="AB107" s="20"/>
      <c r="AC107" s="20"/>
      <c r="AD107" s="20"/>
      <c r="AE107" s="20"/>
    </row>
    <row r="108" spans="1:3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0"/>
      <c r="AB108" s="20"/>
      <c r="AC108" s="20"/>
      <c r="AD108" s="20"/>
      <c r="AE108" s="20"/>
    </row>
    <row r="109" spans="1:3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0"/>
      <c r="AB109" s="20"/>
      <c r="AC109" s="20"/>
      <c r="AD109" s="20"/>
      <c r="AE109" s="20"/>
    </row>
    <row r="110" spans="1:3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0"/>
      <c r="AB110" s="20"/>
      <c r="AC110" s="20"/>
      <c r="AD110" s="20"/>
      <c r="AE110" s="20"/>
    </row>
    <row r="111" spans="1:3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0"/>
      <c r="AB111" s="20"/>
      <c r="AC111" s="20"/>
      <c r="AD111" s="20"/>
      <c r="AE111" s="20"/>
    </row>
    <row r="112" spans="1:3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0"/>
      <c r="AB112" s="20"/>
      <c r="AC112" s="20"/>
      <c r="AD112" s="20"/>
      <c r="AE112" s="20"/>
    </row>
    <row r="113" spans="1:3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0"/>
      <c r="AB113" s="20"/>
      <c r="AC113" s="20"/>
      <c r="AD113" s="20"/>
      <c r="AE113" s="20"/>
    </row>
    <row r="114" spans="1:3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0"/>
      <c r="AB114" s="20"/>
      <c r="AC114" s="20"/>
      <c r="AD114" s="20"/>
      <c r="AE114" s="20"/>
    </row>
    <row r="115" spans="1:3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0"/>
      <c r="AB115" s="20"/>
      <c r="AC115" s="20"/>
      <c r="AD115" s="20"/>
      <c r="AE115" s="20"/>
    </row>
    <row r="116" spans="1:3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0"/>
      <c r="AB116" s="20"/>
      <c r="AC116" s="20"/>
      <c r="AD116" s="20"/>
      <c r="AE116" s="20"/>
    </row>
    <row r="117" spans="1:3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0"/>
      <c r="AB117" s="20"/>
      <c r="AC117" s="20"/>
      <c r="AD117" s="20"/>
      <c r="AE117" s="20"/>
    </row>
    <row r="118" spans="1:3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0"/>
      <c r="AB118" s="20"/>
      <c r="AC118" s="20"/>
      <c r="AD118" s="20"/>
      <c r="AE118" s="20"/>
    </row>
    <row r="119" spans="1:3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0"/>
      <c r="AB119" s="20"/>
      <c r="AC119" s="20"/>
      <c r="AD119" s="20"/>
      <c r="AE119" s="20"/>
    </row>
    <row r="120" spans="1:3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0"/>
      <c r="AB120" s="20"/>
      <c r="AC120" s="20"/>
      <c r="AD120" s="20"/>
      <c r="AE120" s="20"/>
    </row>
    <row r="121" spans="1:3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0"/>
      <c r="AB121" s="20"/>
      <c r="AC121" s="20"/>
      <c r="AD121" s="20"/>
      <c r="AE121" s="20"/>
    </row>
    <row r="122" spans="1:3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0"/>
      <c r="AB122" s="20"/>
      <c r="AC122" s="20"/>
      <c r="AD122" s="20"/>
      <c r="AE122" s="20"/>
    </row>
    <row r="123" spans="1:3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0"/>
      <c r="AB123" s="20"/>
      <c r="AC123" s="20"/>
      <c r="AD123" s="20"/>
      <c r="AE123" s="20"/>
    </row>
    <row r="124" spans="1:3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0"/>
      <c r="AB124" s="20"/>
      <c r="AC124" s="20"/>
      <c r="AD124" s="20"/>
      <c r="AE124" s="20"/>
    </row>
    <row r="125" spans="1:3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0"/>
      <c r="AB125" s="20"/>
      <c r="AC125" s="20"/>
      <c r="AD125" s="20"/>
      <c r="AE125" s="20"/>
    </row>
    <row r="126" spans="1:3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0"/>
      <c r="AB126" s="20"/>
      <c r="AC126" s="20"/>
      <c r="AD126" s="20"/>
      <c r="AE126" s="20"/>
    </row>
    <row r="127" spans="1:3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0"/>
      <c r="AB127" s="20"/>
      <c r="AC127" s="20"/>
      <c r="AD127" s="20"/>
      <c r="AE127" s="20"/>
    </row>
    <row r="128" spans="1:3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0"/>
      <c r="AB128" s="20"/>
      <c r="AC128" s="20"/>
      <c r="AD128" s="20"/>
      <c r="AE128" s="20"/>
    </row>
    <row r="129" spans="1:3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0"/>
      <c r="AB129" s="20"/>
      <c r="AC129" s="20"/>
      <c r="AD129" s="20"/>
      <c r="AE129" s="20"/>
    </row>
    <row r="130" spans="1:3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0"/>
      <c r="AB130" s="20"/>
      <c r="AC130" s="20"/>
      <c r="AD130" s="20"/>
      <c r="AE130" s="20"/>
    </row>
    <row r="131" spans="1:3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0"/>
      <c r="AB131" s="20"/>
      <c r="AC131" s="20"/>
      <c r="AD131" s="20"/>
      <c r="AE131" s="20"/>
    </row>
    <row r="132" spans="1:3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0"/>
      <c r="AB132" s="20"/>
      <c r="AC132" s="20"/>
      <c r="AD132" s="20"/>
      <c r="AE132" s="20"/>
    </row>
    <row r="133" spans="1:3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0"/>
      <c r="AB133" s="20"/>
      <c r="AC133" s="20"/>
      <c r="AD133" s="20"/>
      <c r="AE133" s="20"/>
    </row>
    <row r="134" spans="1:3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0"/>
      <c r="AB134" s="20"/>
      <c r="AC134" s="20"/>
      <c r="AD134" s="20"/>
      <c r="AE134" s="20"/>
    </row>
    <row r="135" spans="1:3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0"/>
      <c r="AB135" s="20"/>
      <c r="AC135" s="20"/>
      <c r="AD135" s="20"/>
      <c r="AE135" s="20"/>
    </row>
    <row r="136" spans="1:3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0"/>
      <c r="AB136" s="20"/>
      <c r="AC136" s="20"/>
      <c r="AD136" s="20"/>
      <c r="AE136" s="20"/>
    </row>
    <row r="137" spans="1:3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0"/>
      <c r="AB137" s="20"/>
      <c r="AC137" s="20"/>
      <c r="AD137" s="20"/>
      <c r="AE137" s="20"/>
    </row>
    <row r="138" spans="1:3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0"/>
      <c r="AB138" s="20"/>
      <c r="AC138" s="20"/>
      <c r="AD138" s="20"/>
      <c r="AE138" s="20"/>
    </row>
    <row r="139" spans="1:3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0"/>
      <c r="AB139" s="20"/>
      <c r="AC139" s="20"/>
      <c r="AD139" s="20"/>
      <c r="AE139" s="20"/>
    </row>
    <row r="140" spans="1:3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0"/>
      <c r="AB140" s="20"/>
      <c r="AC140" s="20"/>
      <c r="AD140" s="20"/>
      <c r="AE140" s="20"/>
    </row>
    <row r="141" spans="1:3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0"/>
      <c r="AB141" s="20"/>
      <c r="AC141" s="20"/>
      <c r="AD141" s="20"/>
      <c r="AE141" s="20"/>
    </row>
    <row r="142" spans="1:3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0"/>
      <c r="AB142" s="20"/>
      <c r="AC142" s="20"/>
      <c r="AD142" s="20"/>
      <c r="AE142" s="20"/>
    </row>
    <row r="143" spans="1:3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0"/>
      <c r="AB143" s="20"/>
      <c r="AC143" s="20"/>
      <c r="AD143" s="20"/>
      <c r="AE143" s="20"/>
    </row>
    <row r="144" spans="1:3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0"/>
      <c r="AB144" s="20"/>
      <c r="AC144" s="20"/>
      <c r="AD144" s="20"/>
      <c r="AE144" s="20"/>
    </row>
    <row r="145" spans="1:3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0"/>
      <c r="AB145" s="20"/>
      <c r="AC145" s="20"/>
      <c r="AD145" s="20"/>
      <c r="AE145" s="20"/>
    </row>
    <row r="146" spans="1:3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0"/>
      <c r="AB146" s="20"/>
      <c r="AC146" s="20"/>
      <c r="AD146" s="20"/>
      <c r="AE146" s="20"/>
    </row>
    <row r="147" spans="1:3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0"/>
      <c r="AB147" s="20"/>
      <c r="AC147" s="20"/>
      <c r="AD147" s="20"/>
      <c r="AE147" s="20"/>
    </row>
    <row r="148" spans="1:3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0"/>
      <c r="AB148" s="20"/>
      <c r="AC148" s="20"/>
      <c r="AD148" s="20"/>
      <c r="AE148" s="20"/>
    </row>
    <row r="149" spans="1:3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0"/>
      <c r="AB149" s="20"/>
      <c r="AC149" s="20"/>
      <c r="AD149" s="20"/>
      <c r="AE149" s="20"/>
    </row>
    <row r="150" spans="1:3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0"/>
      <c r="AB150" s="20"/>
      <c r="AC150" s="20"/>
      <c r="AD150" s="20"/>
      <c r="AE150" s="20"/>
    </row>
    <row r="151" spans="1:3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0"/>
      <c r="AB151" s="20"/>
      <c r="AC151" s="20"/>
      <c r="AD151" s="20"/>
      <c r="AE151" s="20"/>
    </row>
    <row r="152" spans="1:3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0"/>
      <c r="AB152" s="20"/>
      <c r="AC152" s="20"/>
      <c r="AD152" s="20"/>
      <c r="AE152" s="20"/>
    </row>
    <row r="153" spans="1:3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0"/>
      <c r="AB153" s="20"/>
      <c r="AC153" s="20"/>
      <c r="AD153" s="20"/>
      <c r="AE153" s="20"/>
    </row>
    <row r="154" spans="1:3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0"/>
      <c r="AB154" s="20"/>
      <c r="AC154" s="20"/>
      <c r="AD154" s="20"/>
      <c r="AE154" s="20"/>
    </row>
    <row r="155" spans="1:3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0"/>
      <c r="AB155" s="20"/>
      <c r="AC155" s="20"/>
      <c r="AD155" s="20"/>
      <c r="AE155" s="20"/>
    </row>
    <row r="156" spans="1:3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0"/>
      <c r="AB156" s="20"/>
      <c r="AC156" s="20"/>
      <c r="AD156" s="20"/>
      <c r="AE156" s="20"/>
    </row>
    <row r="157" spans="1:3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0"/>
      <c r="AB157" s="20"/>
      <c r="AC157" s="20"/>
      <c r="AD157" s="20"/>
      <c r="AE157" s="20"/>
    </row>
    <row r="158" spans="1:3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0"/>
      <c r="AB158" s="20"/>
      <c r="AC158" s="20"/>
      <c r="AD158" s="20"/>
      <c r="AE158" s="20"/>
    </row>
    <row r="159" spans="1:3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0"/>
      <c r="AB159" s="20"/>
      <c r="AC159" s="20"/>
      <c r="AD159" s="20"/>
      <c r="AE159" s="20"/>
    </row>
    <row r="160" spans="1:3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0"/>
      <c r="AB160" s="20"/>
      <c r="AC160" s="20"/>
      <c r="AD160" s="20"/>
      <c r="AE160" s="20"/>
    </row>
    <row r="161" spans="1:3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0"/>
      <c r="AB161" s="20"/>
      <c r="AC161" s="20"/>
      <c r="AD161" s="20"/>
      <c r="AE161" s="20"/>
    </row>
    <row r="162" spans="1:3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0"/>
      <c r="AB162" s="20"/>
      <c r="AC162" s="20"/>
      <c r="AD162" s="20"/>
      <c r="AE162" s="20"/>
    </row>
    <row r="163" spans="1:3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0"/>
      <c r="AB163" s="20"/>
      <c r="AC163" s="20"/>
      <c r="AD163" s="20"/>
      <c r="AE163" s="20"/>
    </row>
    <row r="164" spans="1:3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0"/>
      <c r="AB164" s="20"/>
      <c r="AC164" s="20"/>
      <c r="AD164" s="20"/>
      <c r="AE164" s="20"/>
    </row>
    <row r="165" spans="1:3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0"/>
      <c r="AB165" s="20"/>
      <c r="AC165" s="20"/>
      <c r="AD165" s="20"/>
      <c r="AE165" s="20"/>
    </row>
    <row r="166" spans="1:3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0"/>
      <c r="AB166" s="20"/>
      <c r="AC166" s="20"/>
      <c r="AD166" s="20"/>
      <c r="AE166" s="20"/>
    </row>
    <row r="167" spans="1:3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0"/>
      <c r="AB167" s="20"/>
      <c r="AC167" s="20"/>
      <c r="AD167" s="20"/>
      <c r="AE167" s="20"/>
    </row>
    <row r="168" spans="1:3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0"/>
      <c r="AB168" s="20"/>
      <c r="AC168" s="20"/>
      <c r="AD168" s="20"/>
      <c r="AE168" s="20"/>
    </row>
    <row r="169" spans="1:3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0"/>
      <c r="AB169" s="20"/>
      <c r="AC169" s="20"/>
      <c r="AD169" s="20"/>
      <c r="AE169" s="20"/>
    </row>
    <row r="170" spans="1:3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0"/>
      <c r="AB170" s="20"/>
      <c r="AC170" s="20"/>
      <c r="AD170" s="20"/>
      <c r="AE170" s="20"/>
    </row>
    <row r="171" spans="1:3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0"/>
      <c r="AB171" s="20"/>
      <c r="AC171" s="20"/>
      <c r="AD171" s="20"/>
      <c r="AE171" s="20"/>
    </row>
    <row r="172" spans="1:3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0"/>
      <c r="AB172" s="20"/>
      <c r="AC172" s="20"/>
      <c r="AD172" s="20"/>
      <c r="AE172" s="20"/>
    </row>
    <row r="173" spans="1:3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0"/>
      <c r="AB173" s="20"/>
      <c r="AC173" s="20"/>
      <c r="AD173" s="20"/>
      <c r="AE173" s="20"/>
    </row>
    <row r="174" spans="1:3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0"/>
      <c r="AB174" s="20"/>
      <c r="AC174" s="20"/>
      <c r="AD174" s="20"/>
      <c r="AE174" s="20"/>
    </row>
    <row r="175" spans="1:3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0"/>
      <c r="AB175" s="20"/>
      <c r="AC175" s="20"/>
      <c r="AD175" s="20"/>
      <c r="AE175" s="20"/>
    </row>
    <row r="176" spans="1:3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0"/>
      <c r="AB176" s="20"/>
      <c r="AC176" s="20"/>
      <c r="AD176" s="20"/>
      <c r="AE176" s="20"/>
    </row>
    <row r="177" spans="1:3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0"/>
      <c r="AB177" s="20"/>
      <c r="AC177" s="20"/>
      <c r="AD177" s="20"/>
      <c r="AE177" s="20"/>
    </row>
    <row r="178" spans="1:3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0"/>
      <c r="AB178" s="20"/>
      <c r="AC178" s="20"/>
      <c r="AD178" s="20"/>
      <c r="AE178" s="20"/>
    </row>
    <row r="179" spans="1:3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0"/>
      <c r="AB179" s="20"/>
      <c r="AC179" s="20"/>
      <c r="AD179" s="20"/>
      <c r="AE179" s="20"/>
    </row>
    <row r="180" spans="1:3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0"/>
      <c r="AB180" s="20"/>
      <c r="AC180" s="20"/>
      <c r="AD180" s="20"/>
      <c r="AE180" s="20"/>
    </row>
    <row r="181" spans="1:3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0"/>
      <c r="AB181" s="20"/>
      <c r="AC181" s="20"/>
      <c r="AD181" s="20"/>
      <c r="AE181" s="20"/>
    </row>
    <row r="182" spans="1:3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0"/>
      <c r="AB182" s="20"/>
      <c r="AC182" s="20"/>
      <c r="AD182" s="20"/>
      <c r="AE182" s="20"/>
    </row>
    <row r="183" spans="1:3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0"/>
      <c r="AB183" s="20"/>
      <c r="AC183" s="20"/>
      <c r="AD183" s="20"/>
      <c r="AE183" s="20"/>
    </row>
    <row r="184" spans="1:3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0"/>
      <c r="AB184" s="20"/>
      <c r="AC184" s="20"/>
      <c r="AD184" s="20"/>
      <c r="AE184" s="20"/>
    </row>
    <row r="185" spans="1:3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0"/>
      <c r="AB185" s="20"/>
      <c r="AC185" s="20"/>
      <c r="AD185" s="20"/>
      <c r="AE185" s="20"/>
    </row>
    <row r="186" spans="1:3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0"/>
      <c r="AB186" s="20"/>
      <c r="AC186" s="20"/>
      <c r="AD186" s="20"/>
      <c r="AE186" s="20"/>
    </row>
    <row r="187" spans="1:3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0"/>
      <c r="AB187" s="20"/>
      <c r="AC187" s="20"/>
      <c r="AD187" s="20"/>
      <c r="AE187" s="20"/>
    </row>
    <row r="188" spans="1:3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0"/>
      <c r="AB188" s="20"/>
      <c r="AC188" s="20"/>
      <c r="AD188" s="20"/>
      <c r="AE188" s="20"/>
    </row>
    <row r="189" spans="1:3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0"/>
      <c r="AB189" s="20"/>
      <c r="AC189" s="20"/>
      <c r="AD189" s="20"/>
      <c r="AE189" s="20"/>
    </row>
    <row r="190" spans="1:3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0"/>
      <c r="AB190" s="20"/>
      <c r="AC190" s="20"/>
      <c r="AD190" s="20"/>
      <c r="AE190" s="20"/>
    </row>
    <row r="191" spans="1:3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0"/>
      <c r="AB191" s="20"/>
      <c r="AC191" s="20"/>
      <c r="AD191" s="20"/>
      <c r="AE191" s="20"/>
    </row>
    <row r="192" spans="1:3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0"/>
      <c r="AB192" s="20"/>
      <c r="AC192" s="20"/>
      <c r="AD192" s="20"/>
      <c r="AE192" s="20"/>
    </row>
    <row r="193" spans="1:3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0"/>
      <c r="AB193" s="20"/>
      <c r="AC193" s="20"/>
      <c r="AD193" s="20"/>
      <c r="AE193" s="20"/>
    </row>
    <row r="194" spans="1:3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0"/>
      <c r="AB194" s="20"/>
      <c r="AC194" s="20"/>
      <c r="AD194" s="20"/>
      <c r="AE194" s="20"/>
    </row>
    <row r="195" spans="1:3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0"/>
      <c r="AB195" s="20"/>
      <c r="AC195" s="20"/>
      <c r="AD195" s="20"/>
      <c r="AE195" s="20"/>
    </row>
    <row r="196" spans="1:3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0"/>
      <c r="AB196" s="20"/>
      <c r="AC196" s="20"/>
      <c r="AD196" s="20"/>
      <c r="AE196" s="20"/>
    </row>
    <row r="197" spans="1:3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0"/>
      <c r="AB197" s="20"/>
      <c r="AC197" s="20"/>
      <c r="AD197" s="20"/>
      <c r="AE197" s="20"/>
    </row>
    <row r="198" spans="1:3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0"/>
      <c r="AB198" s="20"/>
      <c r="AC198" s="20"/>
      <c r="AD198" s="20"/>
      <c r="AE198" s="20"/>
    </row>
    <row r="199" spans="1:3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0"/>
      <c r="AB199" s="20"/>
      <c r="AC199" s="20"/>
      <c r="AD199" s="20"/>
      <c r="AE199" s="20"/>
    </row>
    <row r="200" spans="1:3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0"/>
      <c r="AB200" s="20"/>
      <c r="AC200" s="20"/>
      <c r="AD200" s="20"/>
      <c r="AE200" s="20"/>
    </row>
    <row r="201" spans="1:3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0"/>
      <c r="AB201" s="20"/>
      <c r="AC201" s="20"/>
      <c r="AD201" s="20"/>
      <c r="AE201" s="20"/>
    </row>
    <row r="202" spans="1:3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0"/>
      <c r="AB202" s="20"/>
      <c r="AC202" s="20"/>
      <c r="AD202" s="20"/>
      <c r="AE202" s="20"/>
    </row>
    <row r="203" spans="1:3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0"/>
      <c r="AB203" s="20"/>
      <c r="AC203" s="20"/>
      <c r="AD203" s="20"/>
      <c r="AE203" s="20"/>
    </row>
    <row r="204" spans="1:3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0"/>
      <c r="AB204" s="20"/>
      <c r="AC204" s="20"/>
      <c r="AD204" s="20"/>
      <c r="AE204" s="20"/>
    </row>
    <row r="205" spans="1:3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0"/>
      <c r="AB205" s="20"/>
      <c r="AC205" s="20"/>
      <c r="AD205" s="20"/>
      <c r="AE205" s="20"/>
    </row>
    <row r="206" spans="1:3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0"/>
      <c r="AB206" s="20"/>
      <c r="AC206" s="20"/>
      <c r="AD206" s="20"/>
      <c r="AE206" s="20"/>
    </row>
    <row r="207" spans="1:3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0"/>
      <c r="AB207" s="20"/>
      <c r="AC207" s="20"/>
      <c r="AD207" s="20"/>
      <c r="AE207" s="20"/>
    </row>
    <row r="208" spans="1:3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0"/>
      <c r="AB208" s="20"/>
      <c r="AC208" s="20"/>
      <c r="AD208" s="20"/>
      <c r="AE208" s="20"/>
    </row>
    <row r="209" spans="1:3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0"/>
      <c r="AB209" s="20"/>
      <c r="AC209" s="20"/>
      <c r="AD209" s="20"/>
      <c r="AE209" s="20"/>
    </row>
    <row r="210" spans="1:3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0"/>
      <c r="AB210" s="20"/>
      <c r="AC210" s="20"/>
      <c r="AD210" s="20"/>
      <c r="AE210" s="20"/>
    </row>
    <row r="211" spans="1:3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0"/>
      <c r="AB211" s="20"/>
      <c r="AC211" s="20"/>
      <c r="AD211" s="20"/>
      <c r="AE211" s="20"/>
    </row>
    <row r="212" spans="1:3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0"/>
      <c r="AB212" s="20"/>
      <c r="AC212" s="20"/>
      <c r="AD212" s="20"/>
      <c r="AE212" s="20"/>
    </row>
    <row r="213" spans="1:3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0"/>
      <c r="AB213" s="20"/>
      <c r="AC213" s="20"/>
      <c r="AD213" s="20"/>
      <c r="AE213" s="20"/>
    </row>
    <row r="214" spans="1:3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0"/>
      <c r="AB214" s="20"/>
      <c r="AC214" s="20"/>
      <c r="AD214" s="20"/>
      <c r="AE214" s="20"/>
    </row>
    <row r="215" spans="1:3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0"/>
      <c r="AB215" s="20"/>
      <c r="AC215" s="20"/>
      <c r="AD215" s="20"/>
      <c r="AE215" s="20"/>
    </row>
    <row r="216" spans="1:3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0"/>
      <c r="AB216" s="20"/>
      <c r="AC216" s="20"/>
      <c r="AD216" s="20"/>
      <c r="AE216" s="20"/>
    </row>
    <row r="217" spans="1:3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0"/>
      <c r="AB217" s="20"/>
      <c r="AC217" s="20"/>
      <c r="AD217" s="20"/>
      <c r="AE217" s="20"/>
    </row>
    <row r="218" spans="1:3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0"/>
      <c r="AB218" s="20"/>
      <c r="AC218" s="20"/>
      <c r="AD218" s="20"/>
      <c r="AE218" s="20"/>
    </row>
    <row r="219" spans="1:3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0"/>
      <c r="AB219" s="20"/>
      <c r="AC219" s="20"/>
      <c r="AD219" s="20"/>
      <c r="AE219" s="20"/>
    </row>
    <row r="220" spans="1:3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0"/>
      <c r="AB220" s="20"/>
      <c r="AC220" s="20"/>
      <c r="AD220" s="20"/>
      <c r="AE220" s="20"/>
    </row>
    <row r="221" spans="1:3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0"/>
      <c r="AB221" s="20"/>
      <c r="AC221" s="20"/>
      <c r="AD221" s="20"/>
      <c r="AE221" s="20"/>
    </row>
    <row r="222" spans="1:3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0"/>
      <c r="AB222" s="20"/>
      <c r="AC222" s="20"/>
      <c r="AD222" s="20"/>
      <c r="AE222" s="20"/>
    </row>
    <row r="223" spans="1:3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0"/>
      <c r="AB223" s="20"/>
      <c r="AC223" s="20"/>
      <c r="AD223" s="20"/>
      <c r="AE223" s="20"/>
    </row>
    <row r="224" spans="1:3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0"/>
      <c r="AB224" s="20"/>
      <c r="AC224" s="20"/>
      <c r="AD224" s="20"/>
      <c r="AE224" s="20"/>
    </row>
    <row r="225" spans="1:3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0"/>
      <c r="AB225" s="20"/>
      <c r="AC225" s="20"/>
      <c r="AD225" s="20"/>
      <c r="AE225" s="20"/>
    </row>
    <row r="226" spans="1:3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0"/>
      <c r="AB226" s="20"/>
      <c r="AC226" s="20"/>
      <c r="AD226" s="20"/>
      <c r="AE226" s="20"/>
    </row>
    <row r="227" spans="1:3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0"/>
      <c r="AB227" s="20"/>
      <c r="AC227" s="20"/>
      <c r="AD227" s="20"/>
      <c r="AE227" s="20"/>
    </row>
    <row r="228" spans="1:3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0"/>
      <c r="AB228" s="20"/>
      <c r="AC228" s="20"/>
      <c r="AD228" s="20"/>
      <c r="AE228" s="20"/>
    </row>
    <row r="229" spans="1:3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0"/>
      <c r="AB229" s="20"/>
      <c r="AC229" s="20"/>
      <c r="AD229" s="20"/>
      <c r="AE229" s="20"/>
    </row>
    <row r="230" spans="1:3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0"/>
      <c r="AB230" s="20"/>
      <c r="AC230" s="20"/>
      <c r="AD230" s="20"/>
      <c r="AE230" s="20"/>
    </row>
    <row r="231" spans="1:3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0"/>
      <c r="AB231" s="20"/>
      <c r="AC231" s="20"/>
      <c r="AD231" s="20"/>
      <c r="AE231" s="20"/>
    </row>
    <row r="232" spans="1:3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0"/>
      <c r="AB232" s="20"/>
      <c r="AC232" s="20"/>
      <c r="AD232" s="20"/>
      <c r="AE232" s="20"/>
    </row>
    <row r="233" spans="1:3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0"/>
      <c r="AB233" s="20"/>
      <c r="AC233" s="20"/>
      <c r="AD233" s="20"/>
      <c r="AE233" s="20"/>
    </row>
    <row r="234" spans="1:3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0"/>
      <c r="AB234" s="20"/>
      <c r="AC234" s="20"/>
      <c r="AD234" s="20"/>
      <c r="AE234" s="20"/>
    </row>
    <row r="235" spans="1:3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0"/>
      <c r="AB235" s="20"/>
      <c r="AC235" s="20"/>
      <c r="AD235" s="20"/>
      <c r="AE235" s="20"/>
    </row>
    <row r="236" spans="1:3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0"/>
      <c r="AB236" s="20"/>
      <c r="AC236" s="20"/>
      <c r="AD236" s="20"/>
      <c r="AE236" s="20"/>
    </row>
    <row r="237" spans="1:3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0"/>
      <c r="AB237" s="20"/>
      <c r="AC237" s="20"/>
      <c r="AD237" s="20"/>
      <c r="AE237" s="20"/>
    </row>
    <row r="238" spans="1:3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0"/>
      <c r="AB238" s="20"/>
      <c r="AC238" s="20"/>
      <c r="AD238" s="20"/>
      <c r="AE238" s="20"/>
    </row>
    <row r="239" spans="1:3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0"/>
      <c r="AB239" s="20"/>
      <c r="AC239" s="20"/>
      <c r="AD239" s="20"/>
      <c r="AE239" s="20"/>
    </row>
    <row r="240" spans="1:3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0"/>
      <c r="AB240" s="20"/>
      <c r="AC240" s="20"/>
      <c r="AD240" s="20"/>
      <c r="AE240" s="20"/>
    </row>
    <row r="241" spans="1:3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0"/>
      <c r="AB241" s="20"/>
      <c r="AC241" s="20"/>
      <c r="AD241" s="20"/>
      <c r="AE241" s="20"/>
    </row>
    <row r="242" spans="1:3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0"/>
      <c r="AB242" s="20"/>
      <c r="AC242" s="20"/>
      <c r="AD242" s="20"/>
      <c r="AE242" s="20"/>
    </row>
    <row r="243" spans="1:3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0"/>
      <c r="AB243" s="20"/>
      <c r="AC243" s="20"/>
      <c r="AD243" s="20"/>
      <c r="AE243" s="20"/>
    </row>
    <row r="244" spans="1:3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0"/>
      <c r="AB244" s="20"/>
      <c r="AC244" s="20"/>
      <c r="AD244" s="20"/>
      <c r="AE244" s="20"/>
    </row>
    <row r="245" spans="1:3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0"/>
      <c r="AB245" s="20"/>
      <c r="AC245" s="20"/>
      <c r="AD245" s="20"/>
      <c r="AE245" s="20"/>
    </row>
    <row r="246" spans="1:3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0"/>
      <c r="AB246" s="20"/>
      <c r="AC246" s="20"/>
      <c r="AD246" s="20"/>
      <c r="AE246" s="20"/>
    </row>
    <row r="247" spans="1:3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0"/>
      <c r="AB247" s="20"/>
      <c r="AC247" s="20"/>
      <c r="AD247" s="20"/>
      <c r="AE247" s="20"/>
    </row>
    <row r="248" spans="1:3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0"/>
      <c r="AB248" s="20"/>
      <c r="AC248" s="20"/>
      <c r="AD248" s="20"/>
      <c r="AE248" s="20"/>
    </row>
    <row r="249" spans="1:3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0"/>
      <c r="AB249" s="20"/>
      <c r="AC249" s="20"/>
      <c r="AD249" s="20"/>
      <c r="AE249" s="20"/>
    </row>
    <row r="250" spans="1:3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0"/>
      <c r="AB250" s="20"/>
      <c r="AC250" s="20"/>
      <c r="AD250" s="20"/>
      <c r="AE250" s="20"/>
    </row>
    <row r="251" spans="1:3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0"/>
      <c r="AB251" s="20"/>
      <c r="AC251" s="20"/>
      <c r="AD251" s="20"/>
      <c r="AE251" s="20"/>
    </row>
    <row r="252" spans="1:3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0"/>
      <c r="AB252" s="20"/>
      <c r="AC252" s="20"/>
      <c r="AD252" s="20"/>
      <c r="AE252" s="20"/>
    </row>
    <row r="253" spans="1:3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0"/>
      <c r="AB253" s="20"/>
      <c r="AC253" s="20"/>
      <c r="AD253" s="20"/>
      <c r="AE253" s="20"/>
    </row>
    <row r="254" spans="1:3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0"/>
      <c r="AB254" s="20"/>
      <c r="AC254" s="20"/>
      <c r="AD254" s="20"/>
      <c r="AE254" s="20"/>
    </row>
    <row r="255" spans="1:3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0"/>
      <c r="AB255" s="20"/>
      <c r="AC255" s="20"/>
      <c r="AD255" s="20"/>
      <c r="AE255" s="20"/>
    </row>
    <row r="256" spans="1:3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0"/>
      <c r="AB256" s="20"/>
      <c r="AC256" s="20"/>
      <c r="AD256" s="20"/>
      <c r="AE256" s="20"/>
    </row>
    <row r="257" spans="1:3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0"/>
      <c r="AB257" s="20"/>
      <c r="AC257" s="20"/>
      <c r="AD257" s="20"/>
      <c r="AE257" s="20"/>
    </row>
    <row r="258" spans="1:3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0"/>
      <c r="AB258" s="20"/>
      <c r="AC258" s="20"/>
      <c r="AD258" s="20"/>
      <c r="AE258" s="20"/>
    </row>
    <row r="259" spans="1:3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0"/>
      <c r="AB259" s="20"/>
      <c r="AC259" s="20"/>
      <c r="AD259" s="20"/>
      <c r="AE259" s="20"/>
    </row>
    <row r="260" spans="1:3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0"/>
      <c r="AB260" s="20"/>
      <c r="AC260" s="20"/>
      <c r="AD260" s="20"/>
      <c r="AE260" s="20"/>
    </row>
    <row r="261" spans="1:3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0"/>
      <c r="AB261" s="20"/>
      <c r="AC261" s="20"/>
      <c r="AD261" s="20"/>
      <c r="AE261" s="20"/>
    </row>
    <row r="262" spans="1:3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0"/>
      <c r="AB262" s="20"/>
      <c r="AC262" s="20"/>
      <c r="AD262" s="20"/>
      <c r="AE262" s="20"/>
    </row>
    <row r="263" spans="1:3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0"/>
      <c r="AB263" s="20"/>
      <c r="AC263" s="20"/>
      <c r="AD263" s="20"/>
      <c r="AE263" s="20"/>
    </row>
    <row r="264" spans="1:3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0"/>
      <c r="AB264" s="20"/>
      <c r="AC264" s="20"/>
      <c r="AD264" s="20"/>
      <c r="AE264" s="20"/>
    </row>
    <row r="265" spans="1:3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0"/>
      <c r="AB265" s="20"/>
      <c r="AC265" s="20"/>
      <c r="AD265" s="20"/>
      <c r="AE265" s="20"/>
    </row>
    <row r="266" spans="1:31" x14ac:dyDescent="0.3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spans="1:31" x14ac:dyDescent="0.3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spans="1:31" x14ac:dyDescent="0.3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spans="1:31" x14ac:dyDescent="0.3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spans="1:31" x14ac:dyDescent="0.3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spans="1:31" x14ac:dyDescent="0.3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spans="1:31" x14ac:dyDescent="0.3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spans="1:31" x14ac:dyDescent="0.3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spans="1:31" x14ac:dyDescent="0.3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sheetData>
  <mergeCells count="1">
    <mergeCell ref="O31:Q34"/>
  </mergeCells>
  <conditionalFormatting sqref="Y23:AC39">
    <cfRule type="dataBar" priority="2">
      <dataBar>
        <cfvo type="num" val="0"/>
        <cfvo type="formula" val="MAX($Y$23:$AC$39)*2"/>
        <color rgb="FF63C384"/>
      </dataBar>
      <extLst>
        <ext xmlns:x14="http://schemas.microsoft.com/office/spreadsheetml/2009/9/main" uri="{B025F937-C7B1-47D3-B67F-A62EFF666E3E}">
          <x14:id>{4147BB76-7D69-4853-8349-48138CE73A1D}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147BB76-7D69-4853-8349-48138CE73A1D}">
            <x14:dataBar minLength="0" maxLength="100" border="1" gradient="0" negativeBarBorderColorSameAsPositive="0">
              <x14:cfvo type="num">
                <xm:f>0</xm:f>
              </x14:cfvo>
              <x14:cfvo type="formula">
                <xm:f>MAX($Y$23:$AC$39)*2</xm:f>
              </x14:cfvo>
              <x14:borderColor rgb="FF63C384"/>
              <x14:negativeFillColor rgb="FFFF0000"/>
              <x14:negativeBorderColor rgb="FFFF0000"/>
              <x14:axisColor rgb="FF000000"/>
            </x14:dataBar>
          </x14:cfRule>
          <xm:sqref>Y23:AC39</xm:sqref>
        </x14:conditionalFormatting>
        <x14:conditionalFormatting xmlns:xm="http://schemas.microsoft.com/office/excel/2006/main">
          <x14:cfRule type="expression" priority="3" id="{5597FD14-08D0-46DB-A41B-DBDDE9700C67}">
            <xm:f>Y$21=pivot!$A$53</xm:f>
            <x14:dxf>
              <fill>
                <patternFill>
                  <bgColor rgb="FFFFC000"/>
                </patternFill>
              </fill>
              <border>
                <left style="thin">
                  <color auto="1"/>
                </left>
                <right style="thin">
                  <color auto="1"/>
                </right>
                <vertical/>
                <horizontal/>
              </border>
            </x14:dxf>
          </x14:cfRule>
          <xm:sqref>Y21:AC39</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I1" zoomScale="115" zoomScaleNormal="115" workbookViewId="0">
      <selection activeCell="L4" sqref="L4"/>
    </sheetView>
  </sheetViews>
  <sheetFormatPr defaultRowHeight="14.5" x14ac:dyDescent="0.35"/>
  <cols>
    <col min="1" max="1" width="3.25" customWidth="1"/>
    <col min="2" max="2" width="14.58203125" customWidth="1"/>
    <col min="3" max="3" width="12.83203125" customWidth="1"/>
    <col min="4" max="4" width="10.83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FEA3-A292-434F-A964-BBA1901425BF}">
  <dimension ref="A3:J87"/>
  <sheetViews>
    <sheetView zoomScale="80" zoomScaleNormal="80" workbookViewId="0">
      <selection activeCell="I20" sqref="I20"/>
    </sheetView>
  </sheetViews>
  <sheetFormatPr defaultRowHeight="14.5" x14ac:dyDescent="0.35"/>
  <cols>
    <col min="1" max="2" width="13.25" bestFit="1" customWidth="1"/>
    <col min="3" max="3" width="10.5" bestFit="1" customWidth="1"/>
    <col min="4" max="4" width="9.6640625" bestFit="1" customWidth="1"/>
    <col min="5" max="5" width="7.58203125" bestFit="1" customWidth="1"/>
    <col min="6" max="6" width="13.25" bestFit="1" customWidth="1"/>
    <col min="7" max="8" width="10.5" bestFit="1" customWidth="1"/>
    <col min="9" max="9" width="12.08203125" bestFit="1" customWidth="1"/>
    <col min="10" max="10" width="10.5" bestFit="1" customWidth="1"/>
    <col min="11" max="11" width="12.08203125" bestFit="1" customWidth="1"/>
    <col min="12" max="12" width="15.1640625" bestFit="1" customWidth="1"/>
    <col min="13" max="13" width="16.75" bestFit="1" customWidth="1"/>
  </cols>
  <sheetData>
    <row r="3" spans="1:9" x14ac:dyDescent="0.35">
      <c r="A3" t="s">
        <v>1042</v>
      </c>
      <c r="B3" t="s">
        <v>1043</v>
      </c>
      <c r="C3" t="s">
        <v>1044</v>
      </c>
      <c r="D3" t="s">
        <v>1045</v>
      </c>
      <c r="E3" t="s">
        <v>1046</v>
      </c>
    </row>
    <row r="4" spans="1:9" x14ac:dyDescent="0.35">
      <c r="A4" s="21">
        <v>1000</v>
      </c>
      <c r="B4" s="24">
        <v>96623</v>
      </c>
      <c r="C4" s="21">
        <v>89850</v>
      </c>
      <c r="D4" s="22">
        <v>3.8854000000000033</v>
      </c>
      <c r="E4" s="21">
        <v>307</v>
      </c>
    </row>
    <row r="8" spans="1:9" x14ac:dyDescent="0.35">
      <c r="H8" t="s">
        <v>1081</v>
      </c>
      <c r="I8" s="48">
        <f>A17/A4</f>
        <v>0.218</v>
      </c>
    </row>
    <row r="9" spans="1:9" x14ac:dyDescent="0.35">
      <c r="H9" t="s">
        <v>1077</v>
      </c>
      <c r="I9">
        <f>_xlfn.XLOOKUP(A53,F41:F45,G41:G45)</f>
        <v>218</v>
      </c>
    </row>
    <row r="10" spans="1:9" x14ac:dyDescent="0.35">
      <c r="H10" t="s">
        <v>1071</v>
      </c>
      <c r="I10">
        <f>_xlfn.XLOOKUP(A53,F41:F45,H41:H45)</f>
        <v>20581</v>
      </c>
    </row>
    <row r="12" spans="1:9" x14ac:dyDescent="0.35">
      <c r="H12" t="s">
        <v>1078</v>
      </c>
      <c r="I12">
        <f>_xlfn.RANK.AVG(I9,G41:G45)</f>
        <v>1</v>
      </c>
    </row>
    <row r="13" spans="1:9" x14ac:dyDescent="0.35">
      <c r="H13" t="s">
        <v>1079</v>
      </c>
      <c r="I13">
        <f>_xlfn.RANK.AVG(I10,H41:H45)</f>
        <v>2</v>
      </c>
    </row>
    <row r="15" spans="1:9" x14ac:dyDescent="0.35">
      <c r="H15" t="s">
        <v>1080</v>
      </c>
      <c r="I15" t="str">
        <f>"Call%:"&amp;TEXT(I8,"0%")</f>
        <v>Call%:22%</v>
      </c>
    </row>
    <row r="16" spans="1:9" x14ac:dyDescent="0.35">
      <c r="A16" t="s">
        <v>1042</v>
      </c>
      <c r="B16" t="s">
        <v>1043</v>
      </c>
      <c r="C16" t="s">
        <v>1044</v>
      </c>
      <c r="D16" t="s">
        <v>1045</v>
      </c>
      <c r="E16" t="s">
        <v>1046</v>
      </c>
      <c r="I16" t="str">
        <f>IF(COUNTA(A53:A57)&gt;1,"","Call rank:"&amp;I12)</f>
        <v>Call rank:1</v>
      </c>
    </row>
    <row r="17" spans="1:9" x14ac:dyDescent="0.35">
      <c r="A17" s="21">
        <v>218</v>
      </c>
      <c r="B17" s="24">
        <v>20581</v>
      </c>
      <c r="C17" s="21">
        <v>19300</v>
      </c>
      <c r="D17" s="22">
        <v>3.8706422018348627</v>
      </c>
      <c r="E17" s="21">
        <v>74</v>
      </c>
      <c r="I17" t="str">
        <f>IF(COUNTA(A53:A57)&gt;1,"","Amount rank:"&amp;I13)</f>
        <v>Amount rank:2</v>
      </c>
    </row>
    <row r="19" spans="1:9" x14ac:dyDescent="0.35">
      <c r="H19" t="s">
        <v>1084</v>
      </c>
      <c r="I19" t="e" vm="1">
        <f>IF(COUNTA(A53:A57)&gt;1,"",_xlfn.XLOOKUP(A53,Assets!E3:E7,Assets!F3:F7))</f>
        <v>#VALUE!</v>
      </c>
    </row>
    <row r="23" spans="1:9" x14ac:dyDescent="0.35">
      <c r="A23" s="23" t="s">
        <v>1047</v>
      </c>
      <c r="B23" t="s">
        <v>1042</v>
      </c>
      <c r="C23" t="s">
        <v>1061</v>
      </c>
      <c r="F23" s="23" t="s">
        <v>1047</v>
      </c>
      <c r="G23" t="s">
        <v>1042</v>
      </c>
    </row>
    <row r="24" spans="1:9" x14ac:dyDescent="0.35">
      <c r="A24" s="25" t="s">
        <v>1049</v>
      </c>
      <c r="B24" s="21">
        <v>19</v>
      </c>
      <c r="C24" s="21">
        <v>19</v>
      </c>
      <c r="F24" s="25" t="s">
        <v>1067</v>
      </c>
      <c r="G24" s="21">
        <v>24</v>
      </c>
    </row>
    <row r="25" spans="1:9" x14ac:dyDescent="0.35">
      <c r="A25" s="25" t="s">
        <v>1050</v>
      </c>
      <c r="B25" s="21">
        <v>10</v>
      </c>
      <c r="C25" s="21">
        <v>10</v>
      </c>
      <c r="F25" s="25" t="s">
        <v>1068</v>
      </c>
      <c r="G25" s="21">
        <v>44</v>
      </c>
    </row>
    <row r="26" spans="1:9" x14ac:dyDescent="0.35">
      <c r="A26" s="25" t="s">
        <v>1051</v>
      </c>
      <c r="B26" s="21">
        <v>40</v>
      </c>
      <c r="C26" s="21">
        <v>40</v>
      </c>
      <c r="F26" s="25" t="s">
        <v>1062</v>
      </c>
      <c r="G26" s="21">
        <v>36</v>
      </c>
    </row>
    <row r="27" spans="1:9" x14ac:dyDescent="0.35">
      <c r="A27" s="25" t="s">
        <v>1052</v>
      </c>
      <c r="B27" s="21">
        <v>40</v>
      </c>
      <c r="C27" s="21">
        <v>40</v>
      </c>
      <c r="F27" s="25" t="s">
        <v>1063</v>
      </c>
      <c r="G27" s="21">
        <v>33</v>
      </c>
    </row>
    <row r="28" spans="1:9" x14ac:dyDescent="0.35">
      <c r="A28" s="25" t="s">
        <v>1053</v>
      </c>
      <c r="B28" s="21">
        <v>13</v>
      </c>
      <c r="C28" s="21">
        <v>13</v>
      </c>
      <c r="F28" s="25" t="s">
        <v>1064</v>
      </c>
      <c r="G28" s="21">
        <v>29</v>
      </c>
    </row>
    <row r="29" spans="1:9" x14ac:dyDescent="0.35">
      <c r="A29" s="25" t="s">
        <v>1054</v>
      </c>
      <c r="B29" s="21">
        <v>12</v>
      </c>
      <c r="C29" s="21">
        <v>12</v>
      </c>
      <c r="F29" s="25" t="s">
        <v>1065</v>
      </c>
      <c r="G29" s="21">
        <v>24</v>
      </c>
    </row>
    <row r="30" spans="1:9" x14ac:dyDescent="0.35">
      <c r="A30" s="25" t="s">
        <v>1055</v>
      </c>
      <c r="B30" s="21">
        <v>9</v>
      </c>
      <c r="C30" s="21">
        <v>9</v>
      </c>
      <c r="F30" s="25" t="s">
        <v>1066</v>
      </c>
      <c r="G30" s="21">
        <v>28</v>
      </c>
    </row>
    <row r="31" spans="1:9" x14ac:dyDescent="0.35">
      <c r="A31" s="25" t="s">
        <v>1056</v>
      </c>
      <c r="B31" s="21">
        <v>13</v>
      </c>
      <c r="C31" s="21">
        <v>13</v>
      </c>
      <c r="F31" s="25" t="s">
        <v>1048</v>
      </c>
      <c r="G31" s="21">
        <v>218</v>
      </c>
    </row>
    <row r="32" spans="1:9" x14ac:dyDescent="0.35">
      <c r="A32" s="25" t="s">
        <v>1057</v>
      </c>
      <c r="B32" s="21">
        <v>18</v>
      </c>
      <c r="C32" s="21">
        <v>18</v>
      </c>
    </row>
    <row r="33" spans="1:10" x14ac:dyDescent="0.35">
      <c r="A33" s="25" t="s">
        <v>1058</v>
      </c>
      <c r="B33" s="21">
        <v>21</v>
      </c>
      <c r="C33" s="21">
        <v>21</v>
      </c>
    </row>
    <row r="34" spans="1:10" x14ac:dyDescent="0.35">
      <c r="A34" s="25" t="s">
        <v>1059</v>
      </c>
      <c r="B34" s="21">
        <v>14</v>
      </c>
      <c r="C34" s="21">
        <v>14</v>
      </c>
    </row>
    <row r="35" spans="1:10" x14ac:dyDescent="0.35">
      <c r="A35" s="25" t="s">
        <v>1060</v>
      </c>
      <c r="B35" s="21">
        <v>9</v>
      </c>
      <c r="C35" s="21">
        <v>9</v>
      </c>
    </row>
    <row r="36" spans="1:10" x14ac:dyDescent="0.35">
      <c r="A36" s="25" t="s">
        <v>1048</v>
      </c>
      <c r="B36" s="21">
        <v>218</v>
      </c>
      <c r="C36" s="21">
        <v>218</v>
      </c>
    </row>
    <row r="37" spans="1:10" x14ac:dyDescent="0.35">
      <c r="F37" t="s">
        <v>1083</v>
      </c>
    </row>
    <row r="38" spans="1:10" x14ac:dyDescent="0.35">
      <c r="H38" t="s">
        <v>1074</v>
      </c>
      <c r="I38" t="str">
        <f>A53</f>
        <v>R02</v>
      </c>
    </row>
    <row r="40" spans="1:10" x14ac:dyDescent="0.35">
      <c r="F40" t="s">
        <v>1069</v>
      </c>
      <c r="G40" t="s">
        <v>1070</v>
      </c>
      <c r="H40" t="s">
        <v>1071</v>
      </c>
      <c r="I40" t="s">
        <v>1072</v>
      </c>
      <c r="J40" t="s">
        <v>1073</v>
      </c>
    </row>
    <row r="41" spans="1:10" x14ac:dyDescent="0.35">
      <c r="A41" s="23" t="s">
        <v>1047</v>
      </c>
      <c r="B41" t="s">
        <v>1042</v>
      </c>
      <c r="C41" t="s">
        <v>1043</v>
      </c>
      <c r="F41" t="str" cm="1">
        <f t="array" ref="F41:H45">A42:C46</f>
        <v>R01</v>
      </c>
      <c r="G41">
        <v>189</v>
      </c>
      <c r="H41" s="26">
        <v>18415</v>
      </c>
      <c r="I41" t="e">
        <f>IF(F41=$I$38,G41,NA())</f>
        <v>#N/A</v>
      </c>
      <c r="J41" t="e">
        <f>IF(F41=$I$38,H41,NA())</f>
        <v>#N/A</v>
      </c>
    </row>
    <row r="42" spans="1:10" x14ac:dyDescent="0.35">
      <c r="A42" s="25" t="s">
        <v>11</v>
      </c>
      <c r="B42" s="21">
        <v>189</v>
      </c>
      <c r="C42" s="24">
        <v>18415</v>
      </c>
      <c r="F42" t="str">
        <v>R02</v>
      </c>
      <c r="G42">
        <v>218</v>
      </c>
      <c r="H42" s="26">
        <v>20581</v>
      </c>
      <c r="I42">
        <f t="shared" ref="I42:I45" si="0">IF(F42=$I$38,G42,NA())</f>
        <v>218</v>
      </c>
      <c r="J42">
        <f t="shared" ref="J42:J45" si="1">IF(F42=$I$38,H42,NA())</f>
        <v>20581</v>
      </c>
    </row>
    <row r="43" spans="1:10" x14ac:dyDescent="0.35">
      <c r="A43" s="25" t="s">
        <v>9</v>
      </c>
      <c r="B43" s="21">
        <v>218</v>
      </c>
      <c r="C43" s="24">
        <v>20581</v>
      </c>
      <c r="F43" t="str">
        <v>R03</v>
      </c>
      <c r="G43">
        <v>207</v>
      </c>
      <c r="H43" s="26">
        <v>20872</v>
      </c>
      <c r="I43" t="e">
        <f t="shared" si="0"/>
        <v>#N/A</v>
      </c>
      <c r="J43" t="e">
        <f t="shared" si="1"/>
        <v>#N/A</v>
      </c>
    </row>
    <row r="44" spans="1:10" x14ac:dyDescent="0.35">
      <c r="A44" s="25" t="s">
        <v>6</v>
      </c>
      <c r="B44" s="21">
        <v>207</v>
      </c>
      <c r="C44" s="24">
        <v>20872</v>
      </c>
      <c r="F44" t="str">
        <v>R04</v>
      </c>
      <c r="G44">
        <v>186</v>
      </c>
      <c r="H44" s="26">
        <v>16651</v>
      </c>
      <c r="I44" t="e">
        <f t="shared" si="0"/>
        <v>#N/A</v>
      </c>
      <c r="J44" t="e">
        <f t="shared" si="1"/>
        <v>#N/A</v>
      </c>
    </row>
    <row r="45" spans="1:10" x14ac:dyDescent="0.35">
      <c r="A45" s="25" t="s">
        <v>13</v>
      </c>
      <c r="B45" s="21">
        <v>186</v>
      </c>
      <c r="C45" s="24">
        <v>16651</v>
      </c>
      <c r="F45" t="str">
        <v>R05</v>
      </c>
      <c r="G45">
        <v>200</v>
      </c>
      <c r="H45" s="26">
        <v>20104</v>
      </c>
      <c r="I45" t="e">
        <f t="shared" si="0"/>
        <v>#N/A</v>
      </c>
      <c r="J45" t="e">
        <f t="shared" si="1"/>
        <v>#N/A</v>
      </c>
    </row>
    <row r="46" spans="1:10" x14ac:dyDescent="0.35">
      <c r="A46" s="25" t="s">
        <v>10</v>
      </c>
      <c r="B46" s="21">
        <v>200</v>
      </c>
      <c r="C46" s="24">
        <v>20104</v>
      </c>
    </row>
    <row r="47" spans="1:10" x14ac:dyDescent="0.35">
      <c r="A47" s="25" t="s">
        <v>1048</v>
      </c>
      <c r="B47" s="21">
        <v>1000</v>
      </c>
      <c r="C47" s="24">
        <v>96623</v>
      </c>
    </row>
    <row r="51" spans="1:9" x14ac:dyDescent="0.35">
      <c r="A51" t="s">
        <v>1082</v>
      </c>
      <c r="F51" s="23" t="s">
        <v>1042</v>
      </c>
      <c r="G51" s="23" t="s">
        <v>1075</v>
      </c>
    </row>
    <row r="52" spans="1:9" x14ac:dyDescent="0.35">
      <c r="A52" s="23" t="s">
        <v>1047</v>
      </c>
      <c r="F52" s="23" t="s">
        <v>1047</v>
      </c>
      <c r="G52" t="s">
        <v>999</v>
      </c>
      <c r="H52" t="s">
        <v>998</v>
      </c>
      <c r="I52" t="s">
        <v>1048</v>
      </c>
    </row>
    <row r="53" spans="1:9" x14ac:dyDescent="0.35">
      <c r="A53" s="25" t="s">
        <v>9</v>
      </c>
      <c r="F53" s="25" t="s">
        <v>1002</v>
      </c>
      <c r="G53" s="21">
        <v>144</v>
      </c>
      <c r="H53" s="21">
        <v>132</v>
      </c>
      <c r="I53" s="21">
        <v>276</v>
      </c>
    </row>
    <row r="54" spans="1:9" x14ac:dyDescent="0.35">
      <c r="F54" s="25" t="s">
        <v>1001</v>
      </c>
      <c r="G54" s="21">
        <v>326</v>
      </c>
      <c r="H54" s="21">
        <v>63</v>
      </c>
      <c r="I54" s="21">
        <v>389</v>
      </c>
    </row>
    <row r="55" spans="1:9" x14ac:dyDescent="0.35">
      <c r="F55" s="25" t="s">
        <v>1000</v>
      </c>
      <c r="G55" s="21">
        <v>129</v>
      </c>
      <c r="H55" s="21">
        <v>206</v>
      </c>
      <c r="I55" s="21">
        <v>335</v>
      </c>
    </row>
    <row r="56" spans="1:9" x14ac:dyDescent="0.35">
      <c r="F56" s="25" t="s">
        <v>1048</v>
      </c>
      <c r="G56" s="21">
        <v>599</v>
      </c>
      <c r="H56" s="21">
        <v>401</v>
      </c>
      <c r="I56" s="21">
        <v>1000</v>
      </c>
    </row>
    <row r="59" spans="1:9" x14ac:dyDescent="0.35">
      <c r="B59" s="23" t="s">
        <v>1047</v>
      </c>
      <c r="C59" t="s">
        <v>1042</v>
      </c>
    </row>
    <row r="60" spans="1:9" x14ac:dyDescent="0.35">
      <c r="B60" s="25">
        <v>1</v>
      </c>
      <c r="C60" s="21">
        <v>3</v>
      </c>
    </row>
    <row r="61" spans="1:9" x14ac:dyDescent="0.35">
      <c r="B61" s="25">
        <v>2</v>
      </c>
      <c r="C61" s="21">
        <v>19</v>
      </c>
    </row>
    <row r="62" spans="1:9" x14ac:dyDescent="0.35">
      <c r="B62" s="25">
        <v>3</v>
      </c>
      <c r="C62" s="21">
        <v>35</v>
      </c>
    </row>
    <row r="63" spans="1:9" x14ac:dyDescent="0.35">
      <c r="B63" s="25">
        <v>4</v>
      </c>
      <c r="C63" s="21">
        <v>87</v>
      </c>
    </row>
    <row r="64" spans="1:9" x14ac:dyDescent="0.35">
      <c r="B64" s="25">
        <v>5</v>
      </c>
      <c r="C64" s="21">
        <v>74</v>
      </c>
    </row>
    <row r="65" spans="1:7" x14ac:dyDescent="0.35">
      <c r="B65" s="25" t="s">
        <v>1048</v>
      </c>
      <c r="C65" s="21">
        <v>218</v>
      </c>
    </row>
    <row r="68" spans="1:7" x14ac:dyDescent="0.35">
      <c r="A68" s="23" t="s">
        <v>1043</v>
      </c>
      <c r="B68" s="23" t="s">
        <v>1075</v>
      </c>
    </row>
    <row r="69" spans="1:7" x14ac:dyDescent="0.35">
      <c r="A69" s="23" t="s">
        <v>1047</v>
      </c>
      <c r="B69" t="s">
        <v>11</v>
      </c>
      <c r="C69" t="s">
        <v>9</v>
      </c>
      <c r="D69" t="s">
        <v>6</v>
      </c>
      <c r="E69" t="s">
        <v>13</v>
      </c>
      <c r="F69" t="s">
        <v>10</v>
      </c>
      <c r="G69" t="s">
        <v>1048</v>
      </c>
    </row>
    <row r="70" spans="1:7" x14ac:dyDescent="0.35">
      <c r="A70" s="25" t="s">
        <v>1002</v>
      </c>
      <c r="B70" s="29"/>
      <c r="C70" s="29"/>
      <c r="D70" s="29"/>
      <c r="E70" s="29"/>
      <c r="F70" s="29"/>
      <c r="G70" s="29"/>
    </row>
    <row r="71" spans="1:7" x14ac:dyDescent="0.35">
      <c r="A71" s="30" t="s">
        <v>20</v>
      </c>
      <c r="B71" s="24">
        <v>891</v>
      </c>
      <c r="C71" s="24">
        <v>1332</v>
      </c>
      <c r="D71" s="24">
        <v>1282</v>
      </c>
      <c r="E71" s="24">
        <v>739</v>
      </c>
      <c r="F71" s="24">
        <v>560</v>
      </c>
      <c r="G71" s="24">
        <v>4804</v>
      </c>
    </row>
    <row r="72" spans="1:7" x14ac:dyDescent="0.35">
      <c r="A72" s="30" t="s">
        <v>12</v>
      </c>
      <c r="B72" s="24">
        <v>1991</v>
      </c>
      <c r="C72" s="24">
        <v>1886</v>
      </c>
      <c r="D72" s="24">
        <v>1206</v>
      </c>
      <c r="E72" s="24">
        <v>884</v>
      </c>
      <c r="F72" s="24">
        <v>1722</v>
      </c>
      <c r="G72" s="24">
        <v>7689</v>
      </c>
    </row>
    <row r="73" spans="1:7" x14ac:dyDescent="0.35">
      <c r="A73" s="30" t="s">
        <v>8</v>
      </c>
      <c r="B73" s="24">
        <v>1163</v>
      </c>
      <c r="C73" s="24">
        <v>1180</v>
      </c>
      <c r="D73" s="24">
        <v>1616</v>
      </c>
      <c r="E73" s="24">
        <v>1043</v>
      </c>
      <c r="F73" s="24">
        <v>1747</v>
      </c>
      <c r="G73" s="24">
        <v>6749</v>
      </c>
    </row>
    <row r="74" spans="1:7" x14ac:dyDescent="0.35">
      <c r="A74" s="30" t="s">
        <v>16</v>
      </c>
      <c r="B74" s="24">
        <v>1438</v>
      </c>
      <c r="C74" s="24">
        <v>1616</v>
      </c>
      <c r="D74" s="24">
        <v>866</v>
      </c>
      <c r="E74" s="24">
        <v>829</v>
      </c>
      <c r="F74" s="24">
        <v>2070</v>
      </c>
      <c r="G74" s="24">
        <v>6819</v>
      </c>
    </row>
    <row r="75" spans="1:7" x14ac:dyDescent="0.35">
      <c r="A75" s="25" t="s">
        <v>1001</v>
      </c>
      <c r="B75" s="29"/>
      <c r="C75" s="29"/>
      <c r="D75" s="29"/>
      <c r="E75" s="29"/>
      <c r="F75" s="29"/>
      <c r="G75" s="29"/>
    </row>
    <row r="76" spans="1:7" x14ac:dyDescent="0.35">
      <c r="A76" s="30" t="s">
        <v>24</v>
      </c>
      <c r="B76" s="24">
        <v>1233</v>
      </c>
      <c r="C76" s="24">
        <v>223</v>
      </c>
      <c r="D76" s="24">
        <v>1680</v>
      </c>
      <c r="E76" s="24">
        <v>990</v>
      </c>
      <c r="F76" s="24">
        <v>1508</v>
      </c>
      <c r="G76" s="24">
        <v>5634</v>
      </c>
    </row>
    <row r="77" spans="1:7" x14ac:dyDescent="0.35">
      <c r="A77" s="30" t="s">
        <v>15</v>
      </c>
      <c r="B77" s="24">
        <v>1598</v>
      </c>
      <c r="C77" s="24">
        <v>1907</v>
      </c>
      <c r="D77" s="24">
        <v>869</v>
      </c>
      <c r="E77" s="24">
        <v>1426</v>
      </c>
      <c r="F77" s="24">
        <v>1416</v>
      </c>
      <c r="G77" s="24">
        <v>7216</v>
      </c>
    </row>
    <row r="78" spans="1:7" x14ac:dyDescent="0.35">
      <c r="A78" s="30" t="s">
        <v>5</v>
      </c>
      <c r="B78" s="24">
        <v>900</v>
      </c>
      <c r="C78" s="24">
        <v>1016</v>
      </c>
      <c r="D78" s="24">
        <v>960</v>
      </c>
      <c r="E78" s="24">
        <v>940</v>
      </c>
      <c r="F78" s="24">
        <v>1193</v>
      </c>
      <c r="G78" s="24">
        <v>5009</v>
      </c>
    </row>
    <row r="79" spans="1:7" x14ac:dyDescent="0.35">
      <c r="A79" s="30" t="s">
        <v>18</v>
      </c>
      <c r="B79" s="24">
        <v>900</v>
      </c>
      <c r="C79" s="24">
        <v>1470</v>
      </c>
      <c r="D79" s="24">
        <v>1617</v>
      </c>
      <c r="E79" s="24">
        <v>1314</v>
      </c>
      <c r="F79" s="24">
        <v>941</v>
      </c>
      <c r="G79" s="24">
        <v>6242</v>
      </c>
    </row>
    <row r="80" spans="1:7" x14ac:dyDescent="0.35">
      <c r="A80" s="30" t="s">
        <v>14</v>
      </c>
      <c r="B80" s="24">
        <v>1255</v>
      </c>
      <c r="C80" s="24">
        <v>516</v>
      </c>
      <c r="D80" s="24">
        <v>1874</v>
      </c>
      <c r="E80" s="24">
        <v>1863</v>
      </c>
      <c r="F80" s="24">
        <v>1722</v>
      </c>
      <c r="G80" s="24">
        <v>7230</v>
      </c>
    </row>
    <row r="81" spans="1:7" x14ac:dyDescent="0.35">
      <c r="A81" s="30" t="s">
        <v>19</v>
      </c>
      <c r="B81" s="24">
        <v>1138</v>
      </c>
      <c r="C81" s="24">
        <v>1898</v>
      </c>
      <c r="D81" s="24">
        <v>1482</v>
      </c>
      <c r="E81" s="24">
        <v>846</v>
      </c>
      <c r="F81" s="24">
        <v>1154</v>
      </c>
      <c r="G81" s="24">
        <v>6518</v>
      </c>
    </row>
    <row r="82" spans="1:7" x14ac:dyDescent="0.35">
      <c r="A82" s="25" t="s">
        <v>1000</v>
      </c>
      <c r="B82" s="29"/>
      <c r="C82" s="29"/>
      <c r="D82" s="29"/>
      <c r="E82" s="29"/>
      <c r="F82" s="29"/>
      <c r="G82" s="29"/>
    </row>
    <row r="83" spans="1:7" x14ac:dyDescent="0.35">
      <c r="A83" s="30" t="s">
        <v>17</v>
      </c>
      <c r="B83" s="24">
        <v>1655</v>
      </c>
      <c r="C83" s="24">
        <v>805</v>
      </c>
      <c r="D83" s="24">
        <v>2263</v>
      </c>
      <c r="E83" s="24">
        <v>987</v>
      </c>
      <c r="F83" s="24">
        <v>1075</v>
      </c>
      <c r="G83" s="24">
        <v>6785</v>
      </c>
    </row>
    <row r="84" spans="1:7" x14ac:dyDescent="0.35">
      <c r="A84" s="30" t="s">
        <v>23</v>
      </c>
      <c r="B84" s="24">
        <v>1104</v>
      </c>
      <c r="C84" s="24">
        <v>2280</v>
      </c>
      <c r="D84" s="24">
        <v>1445</v>
      </c>
      <c r="E84" s="24">
        <v>1722</v>
      </c>
      <c r="F84" s="24">
        <v>1196</v>
      </c>
      <c r="G84" s="24">
        <v>7747</v>
      </c>
    </row>
    <row r="85" spans="1:7" x14ac:dyDescent="0.35">
      <c r="A85" s="30" t="s">
        <v>7</v>
      </c>
      <c r="B85" s="24">
        <v>372</v>
      </c>
      <c r="C85" s="24">
        <v>1818</v>
      </c>
      <c r="D85" s="24">
        <v>1346</v>
      </c>
      <c r="E85" s="24">
        <v>1156</v>
      </c>
      <c r="F85" s="24">
        <v>1484</v>
      </c>
      <c r="G85" s="24">
        <v>6176</v>
      </c>
    </row>
    <row r="86" spans="1:7" x14ac:dyDescent="0.35">
      <c r="A86" s="30" t="s">
        <v>22</v>
      </c>
      <c r="B86" s="24">
        <v>1415</v>
      </c>
      <c r="C86" s="24">
        <v>1271</v>
      </c>
      <c r="D86" s="24">
        <v>1214</v>
      </c>
      <c r="E86" s="24">
        <v>1135</v>
      </c>
      <c r="F86" s="24">
        <v>1566</v>
      </c>
      <c r="G86" s="24">
        <v>6601</v>
      </c>
    </row>
    <row r="87" spans="1:7" x14ac:dyDescent="0.35">
      <c r="A87" s="30" t="s">
        <v>21</v>
      </c>
      <c r="B87" s="24">
        <v>1362</v>
      </c>
      <c r="C87" s="24">
        <v>1363</v>
      </c>
      <c r="D87" s="24">
        <v>1152</v>
      </c>
      <c r="E87" s="24">
        <v>777</v>
      </c>
      <c r="F87" s="24">
        <v>750</v>
      </c>
      <c r="G87" s="24">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B2:F17"/>
  <sheetViews>
    <sheetView zoomScale="115" zoomScaleNormal="115" workbookViewId="0">
      <selection activeCell="I4" sqref="I4"/>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e" vm="2">
        <v>#VALUE!</v>
      </c>
    </row>
    <row r="4" spans="5:6" ht="25.5" customHeight="1" x14ac:dyDescent="0.35">
      <c r="E4" t="s">
        <v>9</v>
      </c>
      <c r="F4" t="e" vm="3">
        <v>#VALUE!</v>
      </c>
    </row>
    <row r="5" spans="5:6" ht="25.5" customHeight="1" x14ac:dyDescent="0.35">
      <c r="E5" t="s">
        <v>6</v>
      </c>
      <c r="F5" t="e" vm="4">
        <v>#VALUE!</v>
      </c>
    </row>
    <row r="6" spans="5:6" ht="25.5" customHeight="1" x14ac:dyDescent="0.35">
      <c r="E6" t="s">
        <v>13</v>
      </c>
      <c r="F6" t="e" vm="5">
        <v>#VALUE!</v>
      </c>
    </row>
    <row r="7" spans="5:6" ht="25.5" customHeight="1" x14ac:dyDescent="0.35">
      <c r="E7" t="s">
        <v>10</v>
      </c>
      <c r="F7" t="e" vm="6">
        <v>#VALUE!</v>
      </c>
    </row>
    <row r="17" spans="2:2" x14ac:dyDescent="0.35">
      <c r="B17" t="e" vm="7">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 Centre Report Dashboard</vt:lpstr>
      <vt:lpstr>Data</vt:lpstr>
      <vt:lpstr>pivot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Purbasha R (DA-LON14)</cp:lastModifiedBy>
  <dcterms:created xsi:type="dcterms:W3CDTF">2021-03-14T20:21:32Z</dcterms:created>
  <dcterms:modified xsi:type="dcterms:W3CDTF">2026-05-10T18:29:26Z</dcterms:modified>
</cp:coreProperties>
</file>